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rayasuryanto_student_telkomuniversity_ac_id/Documents/🛄College Data/S4/🎲Investing &amp; Portfolio Analysis/"/>
    </mc:Choice>
  </mc:AlternateContent>
  <xr:revisionPtr revIDLastSave="20" documentId="13_ncr:1_{F49FBF2A-FF66-BC43-9A59-88D2E08FB121}" xr6:coauthVersionLast="47" xr6:coauthVersionMax="47" xr10:uidLastSave="{362FA1A2-1E2C-AB4D-B9F4-A97388ACD018}"/>
  <bookViews>
    <workbookView xWindow="0" yWindow="0" windowWidth="28800" windowHeight="18000" activeTab="3" xr2:uid="{288AD388-FE9D-F340-B875-39A96B0478A1}"/>
  </bookViews>
  <sheets>
    <sheet name="Template" sheetId="1" state="hidden" r:id="rId1"/>
    <sheet name="UTS (2)" sheetId="5" state="hidden" r:id="rId2"/>
    <sheet name="Tugas FITHUB" sheetId="2" state="hidden" r:id="rId3"/>
    <sheet name="UTS - Analisis Arus Kas " sheetId="3" r:id="rId4"/>
    <sheet name="UTS - Analisis Portfolio" sheetId="8" state="hidden" r:id="rId5"/>
    <sheet name="UTS - Analisis Portfolio 2" sheetId="9" r:id="rId6"/>
  </sheets>
  <definedNames>
    <definedName name="_xlnm._FilterDatabase" localSheetId="4" hidden="1">'UTS - Analisis Portfolio'!$B$24:$I$42</definedName>
    <definedName name="_xlnm._FilterDatabase" localSheetId="5" hidden="1">'UTS - Analisis Portfolio 2'!$B$23:$I$37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3" l="1"/>
  <c r="C43" i="3"/>
  <c r="K41" i="3"/>
  <c r="J41" i="3"/>
  <c r="I41" i="3"/>
  <c r="H41" i="3"/>
  <c r="H37" i="3"/>
  <c r="I19" i="3"/>
  <c r="H19" i="3"/>
  <c r="J19" i="3"/>
  <c r="H28" i="3"/>
  <c r="C56" i="9"/>
  <c r="C55" i="9"/>
  <c r="C54" i="9"/>
  <c r="G38" i="9"/>
  <c r="E38" i="9"/>
  <c r="F37" i="9"/>
  <c r="H37" i="9" s="1"/>
  <c r="I37" i="9" s="1"/>
  <c r="F36" i="9"/>
  <c r="H36" i="9" s="1"/>
  <c r="I36" i="9" s="1"/>
  <c r="F35" i="9"/>
  <c r="H35" i="9" s="1"/>
  <c r="I35" i="9" s="1"/>
  <c r="F34" i="9"/>
  <c r="H34" i="9" s="1"/>
  <c r="I34" i="9" s="1"/>
  <c r="F33" i="9"/>
  <c r="H33" i="9" s="1"/>
  <c r="I33" i="9" s="1"/>
  <c r="F32" i="9"/>
  <c r="H32" i="9" s="1"/>
  <c r="I32" i="9" s="1"/>
  <c r="F31" i="9"/>
  <c r="H31" i="9" s="1"/>
  <c r="I31" i="9" s="1"/>
  <c r="F30" i="9"/>
  <c r="H30" i="9" s="1"/>
  <c r="I30" i="9" s="1"/>
  <c r="F29" i="9"/>
  <c r="H29" i="9" s="1"/>
  <c r="I29" i="9" s="1"/>
  <c r="F28" i="9"/>
  <c r="H28" i="9" s="1"/>
  <c r="I28" i="9" s="1"/>
  <c r="F27" i="9"/>
  <c r="H27" i="9" s="1"/>
  <c r="I27" i="9" s="1"/>
  <c r="F26" i="9"/>
  <c r="H26" i="9" s="1"/>
  <c r="I26" i="9" s="1"/>
  <c r="F25" i="9"/>
  <c r="H25" i="9" s="1"/>
  <c r="I25" i="9" s="1"/>
  <c r="F24" i="9"/>
  <c r="H24" i="9" s="1"/>
  <c r="C18" i="9"/>
  <c r="D17" i="9"/>
  <c r="D16" i="9"/>
  <c r="D15" i="9"/>
  <c r="F25" i="8"/>
  <c r="D16" i="8"/>
  <c r="E27" i="3"/>
  <c r="H27" i="3" s="1"/>
  <c r="H35" i="3" s="1"/>
  <c r="E23" i="3"/>
  <c r="E24" i="1"/>
  <c r="P20" i="1"/>
  <c r="F8" i="3"/>
  <c r="H34" i="3"/>
  <c r="I34" i="3"/>
  <c r="J34" i="3"/>
  <c r="K34" i="3"/>
  <c r="L34" i="3"/>
  <c r="L22" i="3"/>
  <c r="H21" i="3"/>
  <c r="I21" i="3"/>
  <c r="I20" i="3"/>
  <c r="H20" i="3"/>
  <c r="J20" i="3"/>
  <c r="K20" i="3"/>
  <c r="L20" i="3"/>
  <c r="K19" i="3"/>
  <c r="L19" i="3"/>
  <c r="J21" i="3"/>
  <c r="K21" i="3"/>
  <c r="L21" i="3"/>
  <c r="G43" i="8"/>
  <c r="E43" i="8"/>
  <c r="F42" i="8"/>
  <c r="H42" i="8" s="1"/>
  <c r="I42" i="8" s="1"/>
  <c r="F41" i="8"/>
  <c r="H41" i="8" s="1"/>
  <c r="I41" i="8" s="1"/>
  <c r="F40" i="8"/>
  <c r="H40" i="8" s="1"/>
  <c r="I40" i="8" s="1"/>
  <c r="F39" i="8"/>
  <c r="H39" i="8" s="1"/>
  <c r="I39" i="8" s="1"/>
  <c r="F38" i="8"/>
  <c r="H38" i="8" s="1"/>
  <c r="I38" i="8" s="1"/>
  <c r="F37" i="8"/>
  <c r="H37" i="8" s="1"/>
  <c r="I37" i="8" s="1"/>
  <c r="F36" i="8"/>
  <c r="H36" i="8" s="1"/>
  <c r="I36" i="8" s="1"/>
  <c r="F35" i="8"/>
  <c r="H35" i="8" s="1"/>
  <c r="I35" i="8" s="1"/>
  <c r="F34" i="8"/>
  <c r="H34" i="8" s="1"/>
  <c r="I34" i="8" s="1"/>
  <c r="F33" i="8"/>
  <c r="H33" i="8" s="1"/>
  <c r="I33" i="8" s="1"/>
  <c r="F32" i="8"/>
  <c r="H32" i="8" s="1"/>
  <c r="I32" i="8" s="1"/>
  <c r="F31" i="8"/>
  <c r="H31" i="8" s="1"/>
  <c r="I31" i="8" s="1"/>
  <c r="F30" i="8"/>
  <c r="H30" i="8" s="1"/>
  <c r="I30" i="8" s="1"/>
  <c r="F29" i="8"/>
  <c r="H29" i="8" s="1"/>
  <c r="I29" i="8" s="1"/>
  <c r="F28" i="8"/>
  <c r="H28" i="8" s="1"/>
  <c r="I28" i="8" s="1"/>
  <c r="F27" i="8"/>
  <c r="H27" i="8" s="1"/>
  <c r="I27" i="8" s="1"/>
  <c r="F26" i="8"/>
  <c r="H26" i="8" s="1"/>
  <c r="I26" i="8" s="1"/>
  <c r="H25" i="8"/>
  <c r="C19" i="8"/>
  <c r="D18" i="8"/>
  <c r="D17" i="8"/>
  <c r="D18" i="9" l="1"/>
  <c r="F38" i="9"/>
  <c r="I24" i="9"/>
  <c r="I38" i="9" s="1"/>
  <c r="D12" i="9" s="1"/>
  <c r="H38" i="9"/>
  <c r="D19" i="8"/>
  <c r="F43" i="8"/>
  <c r="L27" i="3"/>
  <c r="L35" i="3" s="1"/>
  <c r="K27" i="3"/>
  <c r="K35" i="3" s="1"/>
  <c r="J27" i="3"/>
  <c r="J35" i="3" s="1"/>
  <c r="I27" i="3"/>
  <c r="I35" i="3" s="1"/>
  <c r="E35" i="3"/>
  <c r="L23" i="3"/>
  <c r="I25" i="8"/>
  <c r="I43" i="8" s="1"/>
  <c r="D13" i="8" s="1"/>
  <c r="H43" i="8"/>
  <c r="H153" i="3" l="1"/>
  <c r="E146" i="3"/>
  <c r="E145" i="3"/>
  <c r="H182" i="3"/>
  <c r="H183" i="3"/>
  <c r="H184" i="3"/>
  <c r="H185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56" i="3"/>
  <c r="H157" i="3"/>
  <c r="H158" i="3"/>
  <c r="H159" i="3"/>
  <c r="H152" i="3"/>
  <c r="H154" i="3"/>
  <c r="H155" i="3"/>
  <c r="H151" i="3"/>
  <c r="C33" i="1"/>
  <c r="D39" i="2"/>
  <c r="J28" i="3"/>
  <c r="K28" i="3"/>
  <c r="L28" i="3"/>
  <c r="I29" i="3"/>
  <c r="J29" i="3"/>
  <c r="K29" i="3"/>
  <c r="L29" i="3"/>
  <c r="I30" i="3"/>
  <c r="J30" i="3"/>
  <c r="K30" i="3"/>
  <c r="L30" i="3"/>
  <c r="I31" i="3"/>
  <c r="J31" i="3"/>
  <c r="K31" i="3"/>
  <c r="L31" i="3"/>
  <c r="I32" i="3"/>
  <c r="J32" i="3"/>
  <c r="K32" i="3"/>
  <c r="L32" i="3"/>
  <c r="I33" i="3"/>
  <c r="J33" i="3"/>
  <c r="K33" i="3"/>
  <c r="L33" i="3"/>
  <c r="H29" i="3"/>
  <c r="H30" i="3"/>
  <c r="H31" i="3"/>
  <c r="H32" i="3"/>
  <c r="H33" i="3"/>
  <c r="I22" i="3"/>
  <c r="I23" i="3" s="1"/>
  <c r="J22" i="3"/>
  <c r="J23" i="3" s="1"/>
  <c r="K22" i="3"/>
  <c r="K23" i="3" s="1"/>
  <c r="H22" i="3"/>
  <c r="H23" i="3" s="1"/>
  <c r="F9" i="3"/>
  <c r="F10" i="3"/>
  <c r="F11" i="3"/>
  <c r="F12" i="3"/>
  <c r="F13" i="3"/>
  <c r="F14" i="3"/>
  <c r="L35" i="5"/>
  <c r="K35" i="5"/>
  <c r="J35" i="5"/>
  <c r="H35" i="5"/>
  <c r="G35" i="5"/>
  <c r="E35" i="5"/>
  <c r="F30" i="5"/>
  <c r="L30" i="5" s="1"/>
  <c r="L29" i="5"/>
  <c r="K29" i="5"/>
  <c r="H29" i="5"/>
  <c r="F29" i="5"/>
  <c r="J29" i="5" s="1"/>
  <c r="L28" i="5"/>
  <c r="K28" i="5"/>
  <c r="J28" i="5"/>
  <c r="I28" i="5"/>
  <c r="F28" i="5"/>
  <c r="H28" i="5" s="1"/>
  <c r="F27" i="5"/>
  <c r="L27" i="5" s="1"/>
  <c r="F26" i="5"/>
  <c r="L26" i="5" s="1"/>
  <c r="L25" i="5"/>
  <c r="K25" i="5"/>
  <c r="H25" i="5"/>
  <c r="F25" i="5"/>
  <c r="J25" i="5" s="1"/>
  <c r="F21" i="5"/>
  <c r="F20" i="5"/>
  <c r="L20" i="5" s="1"/>
  <c r="F19" i="5"/>
  <c r="L19" i="5" s="1"/>
  <c r="L18" i="5"/>
  <c r="K18" i="5"/>
  <c r="I18" i="5"/>
  <c r="H18" i="5"/>
  <c r="F18" i="5"/>
  <c r="J18" i="5" s="1"/>
  <c r="F13" i="5"/>
  <c r="F12" i="5"/>
  <c r="F11" i="5"/>
  <c r="F10" i="5"/>
  <c r="F9" i="5"/>
  <c r="F8" i="5"/>
  <c r="G14" i="5" s="1"/>
  <c r="G33" i="5" s="1"/>
  <c r="E39" i="3"/>
  <c r="K39" i="3" s="1"/>
  <c r="G24" i="2"/>
  <c r="I24" i="2" s="1"/>
  <c r="G23" i="2"/>
  <c r="J23" i="2" s="1"/>
  <c r="K24" i="2"/>
  <c r="M24" i="2"/>
  <c r="F33" i="2"/>
  <c r="I33" i="2" s="1"/>
  <c r="G16" i="2"/>
  <c r="J16" i="2" s="1"/>
  <c r="G17" i="2"/>
  <c r="I17" i="2" s="1"/>
  <c r="G18" i="2"/>
  <c r="J18" i="2" s="1"/>
  <c r="G25" i="2"/>
  <c r="I25" i="2"/>
  <c r="G26" i="2"/>
  <c r="I26" i="2"/>
  <c r="G27" i="2"/>
  <c r="K27" i="2" s="1"/>
  <c r="G28" i="2"/>
  <c r="J28" i="2" s="1"/>
  <c r="J17" i="2"/>
  <c r="J25" i="2"/>
  <c r="J26" i="2"/>
  <c r="K17" i="2"/>
  <c r="K25" i="2"/>
  <c r="K26" i="2"/>
  <c r="L17" i="2"/>
  <c r="L25" i="2"/>
  <c r="L26" i="2"/>
  <c r="M17" i="2"/>
  <c r="M25" i="2"/>
  <c r="M26" i="2"/>
  <c r="G6" i="2"/>
  <c r="G7" i="2"/>
  <c r="G8" i="2"/>
  <c r="G9" i="2"/>
  <c r="G10" i="2"/>
  <c r="G11" i="2"/>
  <c r="H12" i="2"/>
  <c r="H31" i="2"/>
  <c r="L33" i="2"/>
  <c r="H19" i="1"/>
  <c r="K33" i="2"/>
  <c r="G11" i="1"/>
  <c r="F8" i="1"/>
  <c r="I23" i="1"/>
  <c r="J23" i="1"/>
  <c r="K23" i="1"/>
  <c r="L23" i="1"/>
  <c r="I22" i="1"/>
  <c r="J22" i="1"/>
  <c r="K22" i="1"/>
  <c r="K24" i="1"/>
  <c r="K26" i="1"/>
  <c r="L22" i="1"/>
  <c r="I21" i="1"/>
  <c r="J21" i="1"/>
  <c r="K21" i="1"/>
  <c r="L21" i="1"/>
  <c r="H21" i="1"/>
  <c r="H22" i="1"/>
  <c r="H23" i="1"/>
  <c r="I20" i="1"/>
  <c r="J20" i="1"/>
  <c r="K20" i="1"/>
  <c r="L20" i="1"/>
  <c r="H20" i="1"/>
  <c r="H24" i="1"/>
  <c r="I19" i="1"/>
  <c r="I24" i="1"/>
  <c r="I26" i="1"/>
  <c r="J19" i="1"/>
  <c r="J24" i="1"/>
  <c r="K19" i="1"/>
  <c r="L19" i="1"/>
  <c r="L24" i="1"/>
  <c r="I15" i="1"/>
  <c r="J15" i="1"/>
  <c r="K15" i="1"/>
  <c r="L15" i="1"/>
  <c r="L26" i="1"/>
  <c r="H15" i="1"/>
  <c r="H26" i="1"/>
  <c r="H29" i="1"/>
  <c r="F6" i="1"/>
  <c r="F7" i="1"/>
  <c r="F9" i="1"/>
  <c r="F10" i="1"/>
  <c r="F5" i="1"/>
  <c r="E28" i="1"/>
  <c r="H28" i="1"/>
  <c r="J28" i="1"/>
  <c r="H33" i="2"/>
  <c r="M33" i="2"/>
  <c r="J33" i="2"/>
  <c r="I29" i="1"/>
  <c r="J26" i="1"/>
  <c r="J29" i="1"/>
  <c r="G28" i="1"/>
  <c r="G26" i="1"/>
  <c r="G29" i="1"/>
  <c r="G30" i="1"/>
  <c r="H30" i="1"/>
  <c r="C32" i="1"/>
  <c r="I28" i="1"/>
  <c r="K28" i="1"/>
  <c r="K29" i="1"/>
  <c r="L28" i="1"/>
  <c r="L29" i="1"/>
  <c r="H34" i="2"/>
  <c r="H35" i="2" s="1"/>
  <c r="I30" i="1"/>
  <c r="J30" i="1"/>
  <c r="K30" i="1"/>
  <c r="L30" i="1"/>
  <c r="G15" i="3" l="1"/>
  <c r="G37" i="3" s="1"/>
  <c r="E147" i="3"/>
  <c r="F145" i="3" s="1"/>
  <c r="H188" i="3"/>
  <c r="I28" i="3"/>
  <c r="I37" i="3" s="1"/>
  <c r="G36" i="5"/>
  <c r="G37" i="5" s="1"/>
  <c r="K31" i="5"/>
  <c r="K21" i="5"/>
  <c r="K33" i="5" s="1"/>
  <c r="K36" i="5" s="1"/>
  <c r="L21" i="5"/>
  <c r="L31" i="5"/>
  <c r="H27" i="5"/>
  <c r="I20" i="5"/>
  <c r="I27" i="5"/>
  <c r="H19" i="5"/>
  <c r="H21" i="5" s="1"/>
  <c r="H33" i="5" s="1"/>
  <c r="J20" i="5"/>
  <c r="H26" i="5"/>
  <c r="H31" i="5" s="1"/>
  <c r="J27" i="5"/>
  <c r="H30" i="5"/>
  <c r="I19" i="5"/>
  <c r="K20" i="5"/>
  <c r="I26" i="5"/>
  <c r="K27" i="5"/>
  <c r="I30" i="5"/>
  <c r="I25" i="5"/>
  <c r="I31" i="5" s="1"/>
  <c r="K26" i="5"/>
  <c r="I29" i="5"/>
  <c r="K30" i="5"/>
  <c r="F31" i="5"/>
  <c r="H20" i="5"/>
  <c r="J19" i="5"/>
  <c r="J21" i="5" s="1"/>
  <c r="J26" i="5"/>
  <c r="J31" i="5" s="1"/>
  <c r="J30" i="5"/>
  <c r="K19" i="5"/>
  <c r="I35" i="5"/>
  <c r="J19" i="2"/>
  <c r="L24" i="2"/>
  <c r="J24" i="2"/>
  <c r="J29" i="2" s="1"/>
  <c r="I18" i="2"/>
  <c r="M23" i="2"/>
  <c r="M29" i="2" s="1"/>
  <c r="K23" i="2"/>
  <c r="I23" i="2"/>
  <c r="L28" i="2"/>
  <c r="I28" i="2"/>
  <c r="G29" i="2"/>
  <c r="L27" i="2"/>
  <c r="I27" i="2"/>
  <c r="G19" i="2"/>
  <c r="M18" i="2"/>
  <c r="L18" i="2"/>
  <c r="K18" i="2"/>
  <c r="I16" i="2"/>
  <c r="K28" i="2"/>
  <c r="M27" i="2"/>
  <c r="J27" i="2"/>
  <c r="M28" i="2"/>
  <c r="M16" i="2"/>
  <c r="M19" i="2" s="1"/>
  <c r="L16" i="2"/>
  <c r="K16" i="2"/>
  <c r="K19" i="2" s="1"/>
  <c r="L23" i="2"/>
  <c r="H39" i="3"/>
  <c r="I39" i="3"/>
  <c r="J39" i="3"/>
  <c r="L39" i="3"/>
  <c r="G39" i="3"/>
  <c r="J33" i="5" l="1"/>
  <c r="J36" i="5" s="1"/>
  <c r="H36" i="5"/>
  <c r="H37" i="5"/>
  <c r="I37" i="5" s="1"/>
  <c r="J37" i="5" s="1"/>
  <c r="K37" i="5" s="1"/>
  <c r="L37" i="5" s="1"/>
  <c r="I21" i="5"/>
  <c r="I33" i="5" s="1"/>
  <c r="I36" i="5" s="1"/>
  <c r="L33" i="5"/>
  <c r="L36" i="5" s="1"/>
  <c r="I19" i="2"/>
  <c r="L29" i="2"/>
  <c r="L19" i="2"/>
  <c r="L31" i="2" s="1"/>
  <c r="L34" i="2" s="1"/>
  <c r="I29" i="2"/>
  <c r="M31" i="2"/>
  <c r="M34" i="2" s="1"/>
  <c r="K29" i="2"/>
  <c r="K31" i="2" s="1"/>
  <c r="K34" i="2" s="1"/>
  <c r="J31" i="2"/>
  <c r="J34" i="2" s="1"/>
  <c r="G40" i="3"/>
  <c r="G41" i="3" s="1"/>
  <c r="L37" i="3" l="1"/>
  <c r="L40" i="3" s="1"/>
  <c r="J37" i="3"/>
  <c r="K37" i="3"/>
  <c r="K40" i="3" s="1"/>
  <c r="C40" i="5"/>
  <c r="C39" i="5"/>
  <c r="C41" i="5" s="1"/>
  <c r="I31" i="2"/>
  <c r="I40" i="3"/>
  <c r="C44" i="3" l="1"/>
  <c r="J40" i="3"/>
  <c r="I34" i="2"/>
  <c r="I35" i="2" s="1"/>
  <c r="J35" i="2" s="1"/>
  <c r="K35" i="2" s="1"/>
  <c r="L35" i="2" s="1"/>
  <c r="M35" i="2" s="1"/>
  <c r="D38" i="2"/>
  <c r="D37" i="2"/>
  <c r="L41" i="3" l="1"/>
</calcChain>
</file>

<file path=xl/sharedStrings.xml><?xml version="1.0" encoding="utf-8"?>
<sst xmlns="http://schemas.openxmlformats.org/spreadsheetml/2006/main" count="615" uniqueCount="326">
  <si>
    <t>Keterangan</t>
  </si>
  <si>
    <t>Volume</t>
  </si>
  <si>
    <t>Satuan</t>
  </si>
  <si>
    <t>Harga Satuan</t>
  </si>
  <si>
    <t>Total</t>
  </si>
  <si>
    <t>Tahun 0</t>
  </si>
  <si>
    <t>Tahun 1</t>
  </si>
  <si>
    <t>Tahun 2</t>
  </si>
  <si>
    <t>Tahun 3</t>
  </si>
  <si>
    <t>Tahun 4</t>
  </si>
  <si>
    <t>Tahun 5</t>
  </si>
  <si>
    <t xml:space="preserve">BIAYA FRANCHISE KEBAB TURKI </t>
  </si>
  <si>
    <t xml:space="preserve">BIAYA DEKORASI </t>
  </si>
  <si>
    <t xml:space="preserve">BIAYA PRIZINIAN </t>
  </si>
  <si>
    <t>OPEX - CASH IN</t>
  </si>
  <si>
    <t xml:space="preserve">OPEX - CASH OUT </t>
  </si>
  <si>
    <t>persen</t>
  </si>
  <si>
    <t>NPV</t>
  </si>
  <si>
    <t>IRR</t>
  </si>
  <si>
    <t>PBP</t>
  </si>
  <si>
    <t>tahun</t>
  </si>
  <si>
    <t>SERAGAM KARYAWAN</t>
  </si>
  <si>
    <t>PELATIHAN KARYAWAN</t>
  </si>
  <si>
    <t>MEJA KURSI PELANGGAN</t>
  </si>
  <si>
    <t>paket</t>
  </si>
  <si>
    <t xml:space="preserve">paket </t>
  </si>
  <si>
    <t>orang</t>
  </si>
  <si>
    <t>set</t>
  </si>
  <si>
    <t>Bulan</t>
  </si>
  <si>
    <t>org/ bulan</t>
  </si>
  <si>
    <t>bulan</t>
  </si>
  <si>
    <t>PENJUALAN BULANAN</t>
  </si>
  <si>
    <t>BEBAN BAHAN BAKU</t>
  </si>
  <si>
    <t>BEBAN ROYALTI</t>
  </si>
  <si>
    <t xml:space="preserve">BEBAN GAJI </t>
  </si>
  <si>
    <t>BEBAN LAIN LAIN (AIR, LISTRIK)</t>
  </si>
  <si>
    <t>BEBAN MODUL POS</t>
  </si>
  <si>
    <t>OPERATIONAL EXPENDITURE (OPEX)</t>
  </si>
  <si>
    <t>NET CASHFLOW</t>
  </si>
  <si>
    <t>DISCOUNTED CASHFLOW</t>
  </si>
  <si>
    <t>CUMMULATIVE CASHFLOW</t>
  </si>
  <si>
    <t>DISC. FACTOR (MARR12%)</t>
  </si>
  <si>
    <t>CAPITAL EXPENDITURE (CAPEX)</t>
  </si>
  <si>
    <t xml:space="preserve">BIAYA RENOVASI </t>
  </si>
  <si>
    <t xml:space="preserve">BIAYA PERALATAN GYM </t>
  </si>
  <si>
    <t>PENAMBAHAN DAYA LISTRIK</t>
  </si>
  <si>
    <t>PERALATAN OPERASIONAL (AC, CCTV, LAPTOP, ETC)</t>
  </si>
  <si>
    <t>Paket</t>
  </si>
  <si>
    <t>BIAYA LISENSI FRANCHISE FITHUB</t>
  </si>
  <si>
    <t>ESTIMASI JUMLAH INVESTASI</t>
  </si>
  <si>
    <t>MEMBERSHIP</t>
  </si>
  <si>
    <t>PERSONAL TRAINER</t>
  </si>
  <si>
    <t xml:space="preserve">LAINNYA ( FNB ) </t>
  </si>
  <si>
    <t>ESTIMASI PENJUALAN BULANAN</t>
  </si>
  <si>
    <t>BEBAN MANAGEMENT FEE</t>
  </si>
  <si>
    <t>BEBAN GAJI DAN KOMISI</t>
  </si>
  <si>
    <t>BEBAN RENTAL FEE BULANAN</t>
  </si>
  <si>
    <t>BEBAN LOCAL ADVERTISING FEE</t>
  </si>
  <si>
    <t xml:space="preserve">BEBAN PETTY CASH </t>
  </si>
  <si>
    <t>BEBAN UTILITAS ( air, listrik )</t>
  </si>
  <si>
    <t>Paket/ Bulan</t>
  </si>
  <si>
    <t>Orang/ bulan</t>
  </si>
  <si>
    <t>ESTIMASI BEBAN OPERASIONAL BULANAN</t>
  </si>
  <si>
    <t>Tabel Arus Kas Franchise Fithub</t>
  </si>
  <si>
    <r>
      <t xml:space="preserve">Analisis Arus Kas Investasi Franchise </t>
    </r>
    <r>
      <rPr>
        <b/>
        <sz val="26"/>
        <color rgb="FFFFFF00"/>
        <rFont val="Helvetica"/>
        <family val="2"/>
      </rPr>
      <t>PT Bangor Berkembang Bersama</t>
    </r>
  </si>
  <si>
    <t xml:space="preserve">Tabel Arus Kas Burger Bangor </t>
  </si>
  <si>
    <t>DISC. FACTOR (MARR 20%)</t>
  </si>
  <si>
    <t xml:space="preserve">BIAYA LISENSI FRANCHISE BURGER BANGOR </t>
  </si>
  <si>
    <t>1 pos</t>
  </si>
  <si>
    <t>Tabung Gas 3 Kg &amp; Selang</t>
  </si>
  <si>
    <t>Spanduk Identitas</t>
  </si>
  <si>
    <t>1 pcs</t>
  </si>
  <si>
    <t>3 pcs</t>
  </si>
  <si>
    <t>10 pcs</t>
  </si>
  <si>
    <t>4 pcs</t>
  </si>
  <si>
    <t>BIAYA LISENSI FRANCHISE BURGER BANGOR</t>
  </si>
  <si>
    <t xml:space="preserve">BIAYA PERABOTAN </t>
  </si>
  <si>
    <t>BIAYA PERLENGKAPAN</t>
  </si>
  <si>
    <t>BIAYA PERALATAN</t>
  </si>
  <si>
    <t xml:space="preserve">BIAYA SOFTWARE </t>
  </si>
  <si>
    <t xml:space="preserve">SERAGAM KARYAWAN DAN OWNER </t>
  </si>
  <si>
    <t xml:space="preserve">BAHAN BAKU AWAL </t>
  </si>
  <si>
    <t>BIAYA LISENSI - FRANCHISE BURGER BANGOR</t>
  </si>
  <si>
    <t>BIAYA LISENSI -  SURVEY DAN AKOMODASI</t>
  </si>
  <si>
    <t>BIAYA PERLENGKAPAN - SPANDUK IDENTITAS</t>
  </si>
  <si>
    <t>BIAYA PERLENGKAPAN - BROSUR</t>
  </si>
  <si>
    <t>BIAYA PERLENGKAPAN - SPANDUK BUY 1 GET 1</t>
  </si>
  <si>
    <t>BIAYA PERLENGKAPAN - MENU</t>
  </si>
  <si>
    <t>BIAYA PERLENGKAPAN - STICKER CHILLER</t>
  </si>
  <si>
    <t>BIAYA PERLENGKAPAN - STICKER HALAL</t>
  </si>
  <si>
    <t>BIAYA PERALATAN - PISAU POTONG</t>
  </si>
  <si>
    <t>1,000,000</t>
  </si>
  <si>
    <t>BIAYA PERALATAN - PISAU ROTI</t>
  </si>
  <si>
    <t>BIAYA PERALATAN - KOTAK MAKANAN PLASTIK</t>
  </si>
  <si>
    <t>BIAYA PERALATAN - SPATULA</t>
  </si>
  <si>
    <t>BIAYA PERALATAN - BASKOM PLASTIK</t>
  </si>
  <si>
    <t>BIAYA PERALATAN - TEKO LEMON TEA</t>
  </si>
  <si>
    <t>BIAYA PERALATAN - BOTOL KECAP</t>
  </si>
  <si>
    <t>BIAYA PERALATAN - KERANJANG BOLONG</t>
  </si>
  <si>
    <t>BIAYA PERALATAN - TAPE DISPENSER</t>
  </si>
  <si>
    <t>BIAYA PERALATAN - TEMPAT GARAM</t>
  </si>
  <si>
    <t>BIAYA PERALATAN - SENDOK</t>
  </si>
  <si>
    <t>BIAYA SOFTWARE - SOFTWARE CASHIER</t>
  </si>
  <si>
    <t>6 Bulan</t>
  </si>
  <si>
    <t>2,500,000</t>
  </si>
  <si>
    <t>BIAYA SOFTWARE - INSTAGRAM ADS</t>
  </si>
  <si>
    <t>BIAYA SERAGAM - SERAGAM OWNER</t>
  </si>
  <si>
    <t>BIAYA SERAGAM - SERAGAM STAFF</t>
  </si>
  <si>
    <t>10,000,000</t>
  </si>
  <si>
    <t>BIAYA SERAGAM - TOPI</t>
  </si>
  <si>
    <t xml:space="preserve">BIAYA BAHAN BAKU AWAL </t>
  </si>
  <si>
    <t xml:space="preserve">BIAYA PERALATAN - PENJEPIT DAN PENYARING </t>
  </si>
  <si>
    <t xml:space="preserve">BIAYA PERALATAN - PEMOTONG  </t>
  </si>
  <si>
    <t xml:space="preserve">BIAYA PERALATAN - PENGEMASAN </t>
  </si>
  <si>
    <t xml:space="preserve">BIAYA PERALATAN - LAINNYA </t>
  </si>
  <si>
    <t>BIAYA SOFTWARE - SOFTWARE POS CASHIER</t>
  </si>
  <si>
    <t xml:space="preserve">BIAYA PERABOTAN - MEJA DAN BOOTH </t>
  </si>
  <si>
    <t>BIAYA PERABOTAN - PEMASANGAN DAN PENCAHAYAAN</t>
  </si>
  <si>
    <t xml:space="preserve">BIAYA PERABOTAN - ALAT ELEKTRONIK </t>
  </si>
  <si>
    <t>BIAYA PERABOTAN - PERLENGKAPAN PENDINGIN</t>
  </si>
  <si>
    <t xml:space="preserve">BIAYA PERABOTAN - PERLENGKAPAN GAS </t>
  </si>
  <si>
    <t xml:space="preserve">BIAYA SERAGAM - SERAGAM STAFF &amp; TOPI </t>
  </si>
  <si>
    <t xml:space="preserve">BIAYA PERLENGKAPAN - MATERI PROMOSI </t>
  </si>
  <si>
    <t xml:space="preserve">BIAYA PERLENGKAPAN - MATERI PROMOSI TAMBAHAN </t>
  </si>
  <si>
    <t xml:space="preserve">Paket </t>
  </si>
  <si>
    <t>Unit</t>
  </si>
  <si>
    <t>pcs</t>
  </si>
  <si>
    <t xml:space="preserve">Bulan </t>
  </si>
  <si>
    <t xml:space="preserve">pcs </t>
  </si>
  <si>
    <t xml:space="preserve">lisensi </t>
  </si>
  <si>
    <t>https://www.tokopedia.com/bintangkreasiadvertising/signages-nama-signage-acrylic-neon-box-logo</t>
  </si>
  <si>
    <t>https://www.mokapos.com/harga</t>
  </si>
  <si>
    <t>https://vidogarment.com/harga/</t>
  </si>
  <si>
    <t>https://www.dreambox.id/blog/digital-marketing/tips-serta-cara-membuat-instagram-ads/#biaya-iklan-instagram-ads</t>
  </si>
  <si>
    <t>a</t>
  </si>
  <si>
    <t>- Scrapper (Kape)</t>
  </si>
  <si>
    <t>- Pisau Potong</t>
  </si>
  <si>
    <t>- Pisau Roti</t>
  </si>
  <si>
    <t>- Talenan</t>
  </si>
  <si>
    <t>- Tray Stainless</t>
  </si>
  <si>
    <t>Gaji Karyawan (2 orang @4.525.479)</t>
  </si>
  <si>
    <t xml:space="preserve">Beban Listrik Bulanan </t>
  </si>
  <si>
    <t xml:space="preserve">Beban Internet dan Pulsa </t>
  </si>
  <si>
    <t>Beban Pemeliharaan Aset (Peralatan, Perabotan, Elektronik, Mesin)</t>
  </si>
  <si>
    <t>- Kompor Custom</t>
  </si>
  <si>
    <t>- Printer Bluetooth</t>
  </si>
  <si>
    <t>- Tablet</t>
  </si>
  <si>
    <t>- HP Android</t>
  </si>
  <si>
    <t>- Cash Drawer</t>
  </si>
  <si>
    <t>- Freezer</t>
  </si>
  <si>
    <t>- Chiller</t>
  </si>
  <si>
    <t>- Brosur</t>
  </si>
  <si>
    <t>- Spanduk Buy 1 Get 1</t>
  </si>
  <si>
    <t>- Menu</t>
  </si>
  <si>
    <t>- Sticker Chiller</t>
  </si>
  <si>
    <t>- Sticker Halal</t>
  </si>
  <si>
    <t>- Penjepit</t>
  </si>
  <si>
    <t>- Saringan Halus</t>
  </si>
  <si>
    <t>- Kotak Makanan Plastik</t>
  </si>
  <si>
    <t>- Tape Dispenser</t>
  </si>
  <si>
    <t>- Tempat Garam</t>
  </si>
  <si>
    <t>- Spatula</t>
  </si>
  <si>
    <t>- Baskom Plastik</t>
  </si>
  <si>
    <t>- Teko Lemon Tea</t>
  </si>
  <si>
    <t>- Botol Kecap</t>
  </si>
  <si>
    <t>- Keranjang Bolong</t>
  </si>
  <si>
    <t>- Sendok</t>
  </si>
  <si>
    <t>https://www.tokopedia.com/parabotdapurjkt/kompor-gas-teppan-grill-custom?extParam=ivf%3Dfalse%26src%3Dsearch&amp;refined=true</t>
  </si>
  <si>
    <t>https://www.tokopedia.com/axelpos/printer-barcode-thermal-label-xprinter-xp-4601b-usb-bluetooth-wifi-usb?extParam=ivf%3Dtrue%26whid%3D3070949&amp;src=topads</t>
  </si>
  <si>
    <t>https://www.tokopedia.com/realme/offical-realme-note-50-hp-3gb-3gb-64gb-90hz-vivid-display-phone-sky-blue-90db6?extParam=cmp%3D1%26ivf%3Dtrue&amp;src=topads</t>
  </si>
  <si>
    <t>https://www.tokopedia.com/pandaretail/panda-prj-335-cash-drawer-laci-kasir-rj11-pos-mini-printer-thermal?extParam=ivf%3Dfalse&amp;src=topads</t>
  </si>
  <si>
    <t>https://www.tokopedia.com/refcon/chest-freezer-rsa-cf-110-cf110-freezer-box-100-liter?extParam=ivf%3Dfalse&amp;src=topads</t>
  </si>
  <si>
    <t>https://www.tokopedia.com/miami/showcase-gea-cooler-chiller-gea-expo90-expo-90?extParam=ivf%3Dfalse%26src%3Dsearch</t>
  </si>
  <si>
    <t>https://www.tokopedia.com/tasikjaya/paket-tabung-gas-3kg-isi-selang-paket-regulator-winn-gas-1-8m?extParam=ivf%3Dfalse%26src%3Dsearch</t>
  </si>
  <si>
    <t>https://www.tokopedia.com/sumberaudiokit/spanduk-baliho-banner-ukuran-ekstra-besar-jumbo-lebar-lebih-dari-3-m?extParam=ivf%3Dfalse%26src%3Dsearch</t>
  </si>
  <si>
    <t>https://www.tokopedia.com/plazacetak/cetak-brosur-a5-1-sisi-1000-lembar-artpaper120-gsm?extParam=ivf%3Dfalse&amp;src=topads</t>
  </si>
  <si>
    <t>https://www.tokopedia.com/gamblangmediapromo/cetak-spanduk-print-banner-baliho-online-murah-hires-flexi-280?extParam=ivf%3Dfalse%26src%3Dsearch</t>
  </si>
  <si>
    <t>https://www.tokopedia.com/cetakbukumenu/buku-menu-restoran-isi-plastik-a4-ready-stock-abu-tua-15x30-66c1f?extParam=ivf%3Dtrue&amp;src=topads</t>
  </si>
  <si>
    <t>https://www.tokopedia.com/gravtor/cetak-stiker-hologram-a3-dan-kiss-cut-stiker-label-anti-air-custom?extParam=ivf%3Dfalse&amp;src=topads</t>
  </si>
  <si>
    <t>https://www.tokopedia.com/digiprintjakarta/sticker-logo-halal-transparant-stiker-logo-halal-murah-model-baru-bulat-4cm-b1238?extParam=ivf%3Dfalse&amp;src=topads</t>
  </si>
  <si>
    <t>https://www.tokopedia.com/readystore09/kape-scrapper-gagang-pvc-kualitas-bagus-kuat-untuk-makanan-prtukangan?extParam=ivf%3Dfalse%26src%3Dsearch</t>
  </si>
  <si>
    <t>https://www.tokopedia.com/kasmastore/pisau-dapur-daging-golok-chef-damascus-pattern-cleaver-knife-7-inch?extParam=ivf%3Dtrue&amp;src=topads</t>
  </si>
  <si>
    <t>https://www.tokopedia.com/sugarcraft/pisau-roti-stainless-panjang-36-5cm?extParam=ivf%3Dfalse&amp;src=topads</t>
  </si>
  <si>
    <t>https://www.tokopedia.com/richwoodworks/rw-talenan-kayu-besar-30-x-40-large-cutting-board-rich-woodworks-gcb-30-x-40?extParam=ivf%3Dfalse%26src%3Dsearch</t>
  </si>
  <si>
    <t>https://www.tokopedia.com/kudamasbsd/nampan-stainless-lebar-320-mm-panjang-270-mm-tinggi-48-mm?extParam=ivf%3Dfalse&amp;src=topads</t>
  </si>
  <si>
    <t>https://www.tokopedia.com/aceindonesiaid/ace-kokubo-penjepit-makanan</t>
  </si>
  <si>
    <t>https://www.tokopedia.com/zozoindonesia/zozo-saringan-kain-nilon-susu-kedelai-kopi-jus-jamu-gagang-mesh-halus-gagang-400-mesh?extParam=ivf%3Dtrue&amp;src=topads</t>
  </si>
  <si>
    <t>https://www.tokopedia.com/solusirumahjakarta/kotak-plastik-bening-multipack-besar-7000-ml-kotak-donat-makan?extParam=ivf%3Dfalse%26src%3Dsearch</t>
  </si>
  <si>
    <t>https://www.tokopedia.com/kofujakartapusat/jual-dispenser-tape-tempat-lakban-3-inch-tempat-lakban-selotip?extParam=ivf%3Dfalse&amp;src=topads</t>
  </si>
  <si>
    <t>https://www.tokopedia.com/shopnitz/ceramic-seasoning-jar-6-pcs-tempat-bumbu-dapur-gula-garam-keramik-006?extParam=ivf%3Dfalse&amp;src=topads</t>
  </si>
  <si>
    <t>https://www.tokopedia.com/cypruz-official/cypruz-utensil-sillicone-set-spatula-silikon-tahan-panas-11-pcs?extParam=ivf%3Dtrue%26whid%3D15596748&amp;src=topads</t>
  </si>
  <si>
    <t>https://www.tokopedia.com/kitchenoutlet/baskom-plastik-baskom-kotak-plastik-bak-segi-silver-komet-bee-s?extParam=ivf%3Dfalse&amp;src=topads</t>
  </si>
  <si>
    <t>https://www.tokopedia.com/winnerfor/ws-3-5l-large-capacity-lemon-tea-container-cold-kettle-juice?extParam=ivf%3Dfalse%26src%3Dsearch</t>
  </si>
  <si>
    <t>https://www.tokopedia.com/rumahseduh/botol-saus-sauce-bottle-tempat-saos-mayonais-minyak-kecap-ketchup-lionstar425ml-8bd5e?extParam=ivf%3Dfalse&amp;src=topads</t>
  </si>
  <si>
    <t>https://www.tokopedia.com/8jayahengky/tempat-surat-komet-no-3-kotak-keranjang-plastik-dokumen-bolong-lubang?extParam=ivf%3Dfalse%26src%3Dsearch</t>
  </si>
  <si>
    <t>https://www.tokopedia.com/ikeaindonesia/ikea-f-rnuft-sendok-makan-stainless-19cm-isi-4-pcs?extParam=ivf%3Dfalse%26src%3Dsearch%26whid%3D15015169</t>
  </si>
  <si>
    <t>https://www.tokopedia.com/indotechstore/samsung-galaxy-tab-a9-8-128gb-garansi-resmi-not-tab-a8-promo-5d5b5?extParam=cmp%3D1%26ivf%3Dtrue&amp;src=topads</t>
  </si>
  <si>
    <t xml:space="preserve"> BIAYA PERABOTAN - ALAT ELEKTRONIK  </t>
  </si>
  <si>
    <t xml:space="preserve"> BIAYA PERABOTAN - PERLENGKAPAN PENDINGIN </t>
  </si>
  <si>
    <t>BIAYA SOFTWARE</t>
  </si>
  <si>
    <t xml:space="preserve"> SERAGAM OWNER</t>
  </si>
  <si>
    <t xml:space="preserve">SERAGAM STAFF &amp; TOPI </t>
  </si>
  <si>
    <t>BIAYA MARKETING</t>
  </si>
  <si>
    <t xml:space="preserve">BIAYA SERAGAM </t>
  </si>
  <si>
    <t>BIAYA SERAGAM</t>
  </si>
  <si>
    <t>Neon Signage &amp; Flex</t>
  </si>
  <si>
    <t xml:space="preserve">TOTAL BIAYA </t>
  </si>
  <si>
    <t xml:space="preserve"> SOFTWARE POS CASHIER (include paket lengkap)</t>
  </si>
  <si>
    <t>INSTAGRAM ADS LAUNCHING (include paket lengkap)</t>
  </si>
  <si>
    <t xml:space="preserve">Estimasi Kalkulasi Detail Biaya </t>
  </si>
  <si>
    <t xml:space="preserve">Total Biaya Alat  </t>
  </si>
  <si>
    <t>qty</t>
  </si>
  <si>
    <t>Deskripsi</t>
  </si>
  <si>
    <t>Sumber</t>
  </si>
  <si>
    <t>Item</t>
  </si>
  <si>
    <t>Qty</t>
  </si>
  <si>
    <t>Harga</t>
  </si>
  <si>
    <t>harga</t>
  </si>
  <si>
    <t>total</t>
  </si>
  <si>
    <t xml:space="preserve">POST TEST MODUL 5 </t>
  </si>
  <si>
    <t>NAMA :</t>
  </si>
  <si>
    <t>NIM :</t>
  </si>
  <si>
    <t>KELAS :</t>
  </si>
  <si>
    <t xml:space="preserve">Nama Produk : </t>
  </si>
  <si>
    <t>Link Dokumen :</t>
  </si>
  <si>
    <t>Waktu Akses :</t>
  </si>
  <si>
    <t xml:space="preserve">Equity </t>
  </si>
  <si>
    <t xml:space="preserve">Growth Asset </t>
  </si>
  <si>
    <t>RISK PROFILE</t>
  </si>
  <si>
    <t>GROWTH</t>
  </si>
  <si>
    <t xml:space="preserve">Government Bond </t>
  </si>
  <si>
    <t xml:space="preserve">Income Asset </t>
  </si>
  <si>
    <t>Money Market</t>
  </si>
  <si>
    <t xml:space="preserve">Cash Asset </t>
  </si>
  <si>
    <t>TOTAL PORTFOLIO RETURN</t>
  </si>
  <si>
    <t>Asset Instrument</t>
  </si>
  <si>
    <t>Asset Allocation (%)</t>
  </si>
  <si>
    <t>Asset Allocation (IDR)</t>
  </si>
  <si>
    <t>Total Portfolio Allocation</t>
  </si>
  <si>
    <t xml:space="preserve">PORTFOLIO &amp; ASSET ALLOCATION STRATEGY </t>
  </si>
  <si>
    <t xml:space="preserve">INTRUMENT NAME </t>
  </si>
  <si>
    <t xml:space="preserve">ASSET TYPE </t>
  </si>
  <si>
    <t>ASSET CLASS</t>
  </si>
  <si>
    <t>WEIGHTING ALLOCATION</t>
  </si>
  <si>
    <t>BREAKDOWN AMMOUNT (IDR)</t>
  </si>
  <si>
    <t xml:space="preserve">TARGET GROSS RETURN ( p.a ) </t>
  </si>
  <si>
    <t xml:space="preserve">TARGET WEIGHTED RETURN GROSS (IDR) </t>
  </si>
  <si>
    <t>TARGET WEIGHTED RETURN GROSS  (p.a)</t>
  </si>
  <si>
    <t xml:space="preserve">5x6 </t>
  </si>
  <si>
    <t>4x6</t>
  </si>
  <si>
    <t>Araya Putra Suryanto</t>
  </si>
  <si>
    <t xml:space="preserve">DB - 02 - 03 </t>
  </si>
  <si>
    <t>Nikko Indonesia Balanced Fund</t>
  </si>
  <si>
    <t>https://investasi.inasekuritas.com/wp-content/uploads/2024/03/FFS_NIBALF_022024.pdf</t>
  </si>
  <si>
    <t>Obligasi Negara FR0077</t>
  </si>
  <si>
    <t>PT Bank Rakyat Indonesia, Tbk</t>
  </si>
  <si>
    <t>Growth Asset</t>
  </si>
  <si>
    <t>PT Indofood CBP Sukses Makmur, Tbk</t>
  </si>
  <si>
    <t>Obligasi Negara FR0070</t>
  </si>
  <si>
    <t>PT Telkom Indonesia, Tbk</t>
  </si>
  <si>
    <t>Obligasi Perusahaan PIDL03B</t>
  </si>
  <si>
    <t>Obligasi Negara PBS012</t>
  </si>
  <si>
    <t>PT Bank BTPN, Tbk</t>
  </si>
  <si>
    <t xml:space="preserve">PT Adaro Energy, Tbk </t>
  </si>
  <si>
    <t xml:space="preserve">PT Indofood Sukses Makmur , Tbk </t>
  </si>
  <si>
    <t>Obligasi Negara SR020T3</t>
  </si>
  <si>
    <t>Obligasi Negara SR020T5</t>
  </si>
  <si>
    <t>Obligasi Negara SR019T3</t>
  </si>
  <si>
    <t>PT Bank Danamon Indonesia, Tbk</t>
  </si>
  <si>
    <t>PT Sarana Menara Nusantara, Tbk</t>
  </si>
  <si>
    <t>PT XL Axiata, Tbk</t>
  </si>
  <si>
    <t>TD - PT Bank Rakyat Indonesia, Tbk</t>
  </si>
  <si>
    <t>Cash Asset</t>
  </si>
  <si>
    <t>TD - PT Bank BTPN, Tbk</t>
  </si>
  <si>
    <t>*Tampilan Portfolio Di Sortir bedasarkan jumlah Persentase Alokasi yang tertinggi hingga terendah. 
*Tiap Jenis Aset telah di highligh sesuai warna nya masing - masing; Equity - Biru, Government Bond - Orange, Money Market - Pink.
*Added Asset Merupakan aset yang ditambahkan dengan mengambil acuan Jumlah dari Total Portfolio Allocation menyesuaikan total Persentase alokasi tiap jenis aset.</t>
  </si>
  <si>
    <t>CA</t>
  </si>
  <si>
    <t>GA</t>
  </si>
  <si>
    <t>IA</t>
  </si>
  <si>
    <t>Analisis Arus Kas Investasi Franchise Barbershop Barbertopia</t>
  </si>
  <si>
    <t>Tabel Arus Kas Barbertopia</t>
  </si>
  <si>
    <t xml:space="preserve">Penambahan Daya Listrik </t>
  </si>
  <si>
    <t xml:space="preserve">Seragam Karyawan </t>
  </si>
  <si>
    <t xml:space="preserve">Pelatihan Karyawan </t>
  </si>
  <si>
    <t xml:space="preserve">Peralatan Operasional ( AC, CCTV, Laptop, Handphone ) </t>
  </si>
  <si>
    <t xml:space="preserve">Penjualan Bulanan lain - lain ( Fnb estimasi terjual 10 item/ bulan @8k) </t>
  </si>
  <si>
    <t xml:space="preserve">Beban Lain - lain ( Pety Cash, overhead) </t>
  </si>
  <si>
    <t xml:space="preserve">Beban Restock Fnb </t>
  </si>
  <si>
    <t xml:space="preserve">Tambahan Sofa Ruang Tunggu Customer </t>
  </si>
  <si>
    <t>ASSET UNDER MANAGEMENT (AUM)</t>
  </si>
  <si>
    <t xml:space="preserve">Penjualan Bulanan Produk ( estimasi terjual 80 item/ bulan harga terendah ke 2 @40k) </t>
  </si>
  <si>
    <t xml:space="preserve">Biaya Renovasi Barbershop </t>
  </si>
  <si>
    <t xml:space="preserve">Biaya Paket Usaha paket Small 1  (Lisensi, Perabotan, Peralatan, Perlengkapan Barbershop) </t>
  </si>
  <si>
    <t xml:space="preserve">Penjualan Bulanan Layanan Extra ( estimasi terjual layanan x100/ bulan Cutting + hair spa @75k) </t>
  </si>
  <si>
    <t>Penjualan Bulanan Layanan ( estimasi terjual layanan x400/ bulan Cutting standard @30k)</t>
  </si>
  <si>
    <t>https://www.rumah123.com/properti/surabaya/shr4106299/</t>
  </si>
  <si>
    <t>Biaya Sewa Ruko Bulanan</t>
  </si>
  <si>
    <t xml:space="preserve">Beban Restock Perlengkapan Barbershop ( 4% dari penjualan; asumsi menyesuaikan load) </t>
  </si>
  <si>
    <t>Obligasi Syariah Negara PBS024</t>
  </si>
  <si>
    <t>https://www.ksei.co.id/services/registered-securities/national-islamic-securities/lc/PBS024</t>
  </si>
  <si>
    <t>Obligasi Negara FR0071</t>
  </si>
  <si>
    <t>https://www.ksei.co.id/services/registered-securities/government-bonds/lc/FR0071</t>
  </si>
  <si>
    <t>Obligasi Perusahaan SWIATA01CCN1</t>
  </si>
  <si>
    <t>Company Bond</t>
  </si>
  <si>
    <t>Obligasi Perusahaan BVIC02SBCN1</t>
  </si>
  <si>
    <t>https://www.ksei.co.id/services/registered-securities/corporate-bonds/lc/BVIC02SBCN1</t>
  </si>
  <si>
    <t>https://www.ksei.co.id/services/registered-securities/sukuk/lc/SWIATA01CCN1</t>
  </si>
  <si>
    <t>https://krom.id</t>
  </si>
  <si>
    <t>https://www.bankneocommerce.co.id/id/individual/savings/neo-wow#Keuntungan</t>
  </si>
  <si>
    <t>TD - PT Bank Neo Commerce Tbk</t>
  </si>
  <si>
    <t>TD - PT FinAccel Teknologi Indonesia Tbk</t>
  </si>
  <si>
    <t xml:space="preserve">PT Ace Hardware Indonesia Tbk </t>
  </si>
  <si>
    <t>PT Bank Syariah Indonesia Tbk</t>
  </si>
  <si>
    <t xml:space="preserve">PT XL Axiata Tbk </t>
  </si>
  <si>
    <t xml:space="preserve">PT Indah Kiat Pulp &amp; Paper Tbk </t>
  </si>
  <si>
    <t xml:space="preserve">PT Mitra Adiperkasa Tbk </t>
  </si>
  <si>
    <t>PT Chandra Asri Pacific Tbk</t>
  </si>
  <si>
    <t xml:space="preserve">PT Adaro Minerals Indonesia Tbk </t>
  </si>
  <si>
    <t>PT Charoen Pokphand Indonesia Tbk</t>
  </si>
  <si>
    <t xml:space="preserve">Link Referensi </t>
  </si>
  <si>
    <t>*Tampilan Portfolio Di Sortir bedasarkan Jenis Instrument secara berurutan Obligasi, Deposito, dan Saham.
*Tiap Jenis Aset telah di highligh sesuai warna nya masing - masing; Equity - Hijau, Government Bond - Ungu, Money Market - kuning.</t>
  </si>
  <si>
    <t xml:space="preserve">Link Referensi  Sumber Target Gross Return p.a </t>
  </si>
  <si>
    <t xml:space="preserve">Asumsi : </t>
  </si>
  <si>
    <t xml:space="preserve">Alokasi Investasi bedasarkan Pembagian yang ditetapkan, dengan Growth asset yang tertinggi, sehingga diambil 8 Saham Yang memiliki Gain Tertinggi diantara saham lainnya pada Index Jakarta Islamic Index yang diberikan </t>
  </si>
  <si>
    <t xml:space="preserve">UTS AIP </t>
  </si>
  <si>
    <t xml:space="preserve">Portfolio Araya </t>
  </si>
  <si>
    <t xml:space="preserve">Sewa Ruko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</si>
</sst>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22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u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4"/>
      <color rgb="FFFFFF0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"/>
      <family val="2"/>
    </font>
    <font>
      <b/>
      <sz val="10"/>
      <color theme="1"/>
      <name val="Helvetica"/>
      <family val="2"/>
    </font>
    <font>
      <b/>
      <i/>
      <u/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b/>
      <sz val="26"/>
      <color theme="0"/>
      <name val="Helvetica"/>
      <family val="2"/>
    </font>
    <font>
      <b/>
      <sz val="26"/>
      <color rgb="FFFFFF00"/>
      <name val="Helvetica"/>
      <family val="2"/>
    </font>
    <font>
      <b/>
      <i/>
      <sz val="14"/>
      <color theme="0"/>
      <name val="Helvetica"/>
      <family val="2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u/>
      <sz val="12"/>
      <color rgb="FF467886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3C3D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BC73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1CEB9"/>
        <bgColor indexed="64"/>
      </patternFill>
    </fill>
    <fill>
      <patternFill patternType="solid">
        <fgColor rgb="FFFDFFC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FFE2FB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9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4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41" fontId="0" fillId="2" borderId="1" xfId="1" applyFont="1" applyFill="1" applyBorder="1"/>
    <xf numFmtId="41" fontId="0" fillId="0" borderId="1" xfId="1" applyFont="1" applyBorder="1"/>
    <xf numFmtId="41" fontId="0" fillId="3" borderId="1" xfId="1" applyFont="1" applyFill="1" applyBorder="1"/>
    <xf numFmtId="41" fontId="0" fillId="4" borderId="1" xfId="1" applyFont="1" applyFill="1" applyBorder="1"/>
    <xf numFmtId="41" fontId="3" fillId="4" borderId="1" xfId="1" applyFont="1" applyFill="1" applyBorder="1"/>
    <xf numFmtId="9" fontId="3" fillId="4" borderId="1" xfId="0" applyNumberFormat="1" applyFont="1" applyFill="1" applyBorder="1"/>
    <xf numFmtId="41" fontId="3" fillId="5" borderId="1" xfId="1" applyFont="1" applyFill="1" applyBorder="1"/>
    <xf numFmtId="0" fontId="3" fillId="5" borderId="1" xfId="0" applyFont="1" applyFill="1" applyBorder="1"/>
    <xf numFmtId="2" fontId="3" fillId="5" borderId="1" xfId="0" applyNumberFormat="1" applyFont="1" applyFill="1" applyBorder="1"/>
    <xf numFmtId="41" fontId="3" fillId="3" borderId="1" xfId="1" applyFont="1" applyFill="1" applyBorder="1"/>
    <xf numFmtId="41" fontId="3" fillId="2" borderId="1" xfId="1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164" fontId="3" fillId="4" borderId="1" xfId="0" applyNumberFormat="1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horizontal="right"/>
    </xf>
    <xf numFmtId="0" fontId="7" fillId="4" borderId="1" xfId="0" applyFont="1" applyFill="1" applyBorder="1"/>
    <xf numFmtId="0" fontId="5" fillId="4" borderId="1" xfId="0" applyFont="1" applyFill="1" applyBorder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3" fillId="2" borderId="1" xfId="0" applyFont="1" applyFill="1" applyBorder="1"/>
    <xf numFmtId="41" fontId="11" fillId="2" borderId="1" xfId="1" applyFont="1" applyFill="1" applyBorder="1"/>
    <xf numFmtId="41" fontId="11" fillId="0" borderId="1" xfId="1" applyFont="1" applyBorder="1"/>
    <xf numFmtId="0" fontId="11" fillId="2" borderId="1" xfId="0" applyFont="1" applyFill="1" applyBorder="1"/>
    <xf numFmtId="0" fontId="14" fillId="2" borderId="1" xfId="0" applyFont="1" applyFill="1" applyBorder="1"/>
    <xf numFmtId="41" fontId="14" fillId="2" borderId="1" xfId="1" applyFont="1" applyFill="1" applyBorder="1"/>
    <xf numFmtId="0" fontId="11" fillId="0" borderId="1" xfId="0" applyFont="1" applyBorder="1"/>
    <xf numFmtId="0" fontId="13" fillId="0" borderId="1" xfId="0" applyFont="1" applyBorder="1"/>
    <xf numFmtId="0" fontId="15" fillId="3" borderId="1" xfId="0" applyFont="1" applyFill="1" applyBorder="1"/>
    <xf numFmtId="41" fontId="11" fillId="3" borderId="1" xfId="1" applyFont="1" applyFill="1" applyBorder="1"/>
    <xf numFmtId="0" fontId="11" fillId="3" borderId="1" xfId="0" applyFont="1" applyFill="1" applyBorder="1"/>
    <xf numFmtId="0" fontId="14" fillId="3" borderId="1" xfId="0" applyFont="1" applyFill="1" applyBorder="1"/>
    <xf numFmtId="41" fontId="14" fillId="3" borderId="1" xfId="1" applyFont="1" applyFill="1" applyBorder="1"/>
    <xf numFmtId="0" fontId="15" fillId="4" borderId="1" xfId="0" applyFont="1" applyFill="1" applyBorder="1"/>
    <xf numFmtId="41" fontId="11" fillId="4" borderId="1" xfId="1" applyFont="1" applyFill="1" applyBorder="1"/>
    <xf numFmtId="0" fontId="11" fillId="4" borderId="1" xfId="0" applyFont="1" applyFill="1" applyBorder="1"/>
    <xf numFmtId="0" fontId="14" fillId="4" borderId="1" xfId="0" applyFont="1" applyFill="1" applyBorder="1"/>
    <xf numFmtId="41" fontId="14" fillId="4" borderId="1" xfId="1" applyFont="1" applyFill="1" applyBorder="1"/>
    <xf numFmtId="0" fontId="15" fillId="5" borderId="1" xfId="0" applyFont="1" applyFill="1" applyBorder="1"/>
    <xf numFmtId="0" fontId="11" fillId="5" borderId="1" xfId="0" applyFont="1" applyFill="1" applyBorder="1"/>
    <xf numFmtId="41" fontId="14" fillId="5" borderId="1" xfId="1" applyFont="1" applyFill="1" applyBorder="1"/>
    <xf numFmtId="0" fontId="14" fillId="5" borderId="1" xfId="0" applyFont="1" applyFill="1" applyBorder="1"/>
    <xf numFmtId="2" fontId="14" fillId="5" borderId="1" xfId="0" applyNumberFormat="1" applyFont="1" applyFill="1" applyBorder="1"/>
    <xf numFmtId="0" fontId="11" fillId="5" borderId="1" xfId="0" applyFont="1" applyFill="1" applyBorder="1" applyAlignment="1">
      <alignment horizontal="right"/>
    </xf>
    <xf numFmtId="9" fontId="14" fillId="4" borderId="1" xfId="0" applyNumberFormat="1" applyFont="1" applyFill="1" applyBorder="1"/>
    <xf numFmtId="164" fontId="14" fillId="4" borderId="1" xfId="0" applyNumberFormat="1" applyFont="1" applyFill="1" applyBorder="1"/>
    <xf numFmtId="0" fontId="11" fillId="0" borderId="0" xfId="0" applyFont="1" applyAlignment="1">
      <alignment vertical="center"/>
    </xf>
    <xf numFmtId="0" fontId="14" fillId="0" borderId="0" xfId="0" applyFont="1"/>
    <xf numFmtId="0" fontId="0" fillId="0" borderId="0" xfId="0" applyAlignment="1">
      <alignment horizontal="left" vertical="center"/>
    </xf>
    <xf numFmtId="41" fontId="11" fillId="0" borderId="0" xfId="1" applyFont="1"/>
    <xf numFmtId="41" fontId="11" fillId="2" borderId="0" xfId="1" applyFont="1" applyFill="1"/>
    <xf numFmtId="0" fontId="19" fillId="0" borderId="0" xfId="3"/>
    <xf numFmtId="41" fontId="11" fillId="0" borderId="0" xfId="0" applyNumberFormat="1" applyFont="1"/>
    <xf numFmtId="41" fontId="11" fillId="0" borderId="0" xfId="1" applyFont="1" applyFill="1"/>
    <xf numFmtId="41" fontId="3" fillId="4" borderId="1" xfId="0" applyNumberFormat="1" applyFont="1" applyFill="1" applyBorder="1"/>
    <xf numFmtId="0" fontId="11" fillId="0" borderId="0" xfId="0" applyFont="1" applyAlignment="1">
      <alignment horizontal="center" vertical="center" wrapText="1"/>
    </xf>
    <xf numFmtId="41" fontId="11" fillId="0" borderId="0" xfId="1" applyFont="1" applyAlignment="1">
      <alignment horizontal="center" vertical="center" wrapText="1"/>
    </xf>
    <xf numFmtId="41" fontId="11" fillId="0" borderId="0" xfId="1" applyFont="1" applyAlignment="1">
      <alignment vertical="center"/>
    </xf>
    <xf numFmtId="41" fontId="11" fillId="0" borderId="0" xfId="1" applyFont="1" applyFill="1" applyAlignment="1">
      <alignment vertical="center"/>
    </xf>
    <xf numFmtId="41" fontId="11" fillId="0" borderId="0" xfId="1" applyFont="1" applyFill="1" applyAlignment="1">
      <alignment horizontal="center" vertical="center" wrapText="1"/>
    </xf>
    <xf numFmtId="41" fontId="14" fillId="2" borderId="0" xfId="1" applyFont="1" applyFill="1" applyAlignment="1">
      <alignment vertical="center"/>
    </xf>
    <xf numFmtId="41" fontId="14" fillId="0" borderId="0" xfId="1" applyFont="1" applyAlignment="1">
      <alignment horizontal="left" vertical="center"/>
    </xf>
    <xf numFmtId="41" fontId="14" fillId="17" borderId="1" xfId="1" applyFont="1" applyFill="1" applyBorder="1" applyAlignment="1">
      <alignment horizontal="center" vertical="center" wrapText="1"/>
    </xf>
    <xf numFmtId="41" fontId="14" fillId="17" borderId="1" xfId="1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1" fontId="11" fillId="3" borderId="0" xfId="1" applyFont="1" applyFill="1" applyBorder="1" applyAlignment="1">
      <alignment vertical="center"/>
    </xf>
    <xf numFmtId="41" fontId="11" fillId="3" borderId="4" xfId="1" applyFont="1" applyFill="1" applyBorder="1" applyAlignment="1">
      <alignment vertical="center"/>
    </xf>
    <xf numFmtId="0" fontId="11" fillId="9" borderId="0" xfId="0" applyFont="1" applyFill="1" applyAlignment="1">
      <alignment vertical="center"/>
    </xf>
    <xf numFmtId="41" fontId="11" fillId="9" borderId="0" xfId="1" applyFont="1" applyFill="1" applyBorder="1" applyAlignment="1">
      <alignment vertical="center"/>
    </xf>
    <xf numFmtId="41" fontId="11" fillId="9" borderId="4" xfId="1" applyFont="1" applyFill="1" applyBorder="1" applyAlignment="1">
      <alignment vertical="center"/>
    </xf>
    <xf numFmtId="41" fontId="14" fillId="5" borderId="3" xfId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/>
    </xf>
    <xf numFmtId="41" fontId="11" fillId="5" borderId="0" xfId="1" applyFont="1" applyFill="1" applyBorder="1" applyAlignment="1">
      <alignment vertical="center"/>
    </xf>
    <xf numFmtId="41" fontId="11" fillId="5" borderId="4" xfId="1" applyFont="1" applyFill="1" applyBorder="1" applyAlignment="1">
      <alignment vertical="center"/>
    </xf>
    <xf numFmtId="0" fontId="11" fillId="10" borderId="0" xfId="0" applyFont="1" applyFill="1" applyAlignment="1">
      <alignment vertical="center"/>
    </xf>
    <xf numFmtId="41" fontId="11" fillId="10" borderId="0" xfId="1" applyFont="1" applyFill="1" applyBorder="1" applyAlignment="1">
      <alignment vertical="center"/>
    </xf>
    <xf numFmtId="41" fontId="11" fillId="10" borderId="4" xfId="1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41" fontId="11" fillId="4" borderId="0" xfId="1" applyFont="1" applyFill="1" applyBorder="1" applyAlignment="1">
      <alignment vertical="center"/>
    </xf>
    <xf numFmtId="41" fontId="11" fillId="4" borderId="4" xfId="1" applyFont="1" applyFill="1" applyBorder="1" applyAlignment="1">
      <alignment vertical="center"/>
    </xf>
    <xf numFmtId="0" fontId="11" fillId="11" borderId="0" xfId="0" applyFont="1" applyFill="1" applyAlignment="1">
      <alignment vertical="center"/>
    </xf>
    <xf numFmtId="41" fontId="11" fillId="11" borderId="0" xfId="1" applyFont="1" applyFill="1" applyBorder="1" applyAlignment="1">
      <alignment vertical="center"/>
    </xf>
    <xf numFmtId="41" fontId="11" fillId="11" borderId="4" xfId="1" applyFont="1" applyFill="1" applyBorder="1" applyAlignment="1">
      <alignment vertical="center"/>
    </xf>
    <xf numFmtId="0" fontId="11" fillId="15" borderId="0" xfId="0" applyFont="1" applyFill="1" applyAlignment="1">
      <alignment vertical="center"/>
    </xf>
    <xf numFmtId="41" fontId="11" fillId="15" borderId="0" xfId="1" applyFont="1" applyFill="1" applyBorder="1" applyAlignment="1">
      <alignment vertical="center"/>
    </xf>
    <xf numFmtId="41" fontId="11" fillId="15" borderId="4" xfId="1" applyFont="1" applyFill="1" applyBorder="1" applyAlignment="1">
      <alignment vertical="center"/>
    </xf>
    <xf numFmtId="0" fontId="11" fillId="14" borderId="0" xfId="0" applyFont="1" applyFill="1" applyAlignment="1">
      <alignment vertical="center"/>
    </xf>
    <xf numFmtId="41" fontId="11" fillId="14" borderId="0" xfId="1" applyFont="1" applyFill="1" applyBorder="1" applyAlignment="1">
      <alignment vertical="center"/>
    </xf>
    <xf numFmtId="41" fontId="11" fillId="14" borderId="4" xfId="1" applyFont="1" applyFill="1" applyBorder="1" applyAlignment="1">
      <alignment vertical="center"/>
    </xf>
    <xf numFmtId="0" fontId="11" fillId="13" borderId="0" xfId="0" applyFont="1" applyFill="1" applyAlignment="1">
      <alignment vertical="center"/>
    </xf>
    <xf numFmtId="41" fontId="11" fillId="13" borderId="0" xfId="1" applyFont="1" applyFill="1" applyBorder="1" applyAlignment="1">
      <alignment vertical="center"/>
    </xf>
    <xf numFmtId="41" fontId="11" fillId="13" borderId="4" xfId="1" applyFont="1" applyFill="1" applyBorder="1" applyAlignment="1">
      <alignment vertical="center"/>
    </xf>
    <xf numFmtId="41" fontId="14" fillId="16" borderId="3" xfId="1" applyFont="1" applyFill="1" applyBorder="1" applyAlignment="1">
      <alignment horizontal="center" vertical="center"/>
    </xf>
    <xf numFmtId="41" fontId="11" fillId="16" borderId="0" xfId="1" applyFont="1" applyFill="1" applyBorder="1"/>
    <xf numFmtId="0" fontId="11" fillId="16" borderId="0" xfId="0" applyFont="1" applyFill="1" applyAlignment="1">
      <alignment vertical="center"/>
    </xf>
    <xf numFmtId="41" fontId="11" fillId="16" borderId="0" xfId="1" applyFont="1" applyFill="1" applyBorder="1" applyAlignment="1">
      <alignment vertical="center"/>
    </xf>
    <xf numFmtId="41" fontId="11" fillId="16" borderId="4" xfId="1" applyFont="1" applyFill="1" applyBorder="1" applyAlignment="1">
      <alignment vertical="center"/>
    </xf>
    <xf numFmtId="41" fontId="14" fillId="16" borderId="5" xfId="1" applyFont="1" applyFill="1" applyBorder="1" applyAlignment="1">
      <alignment horizontal="center" vertical="center"/>
    </xf>
    <xf numFmtId="41" fontId="11" fillId="16" borderId="2" xfId="1" applyFont="1" applyFill="1" applyBorder="1"/>
    <xf numFmtId="0" fontId="11" fillId="16" borderId="2" xfId="0" applyFont="1" applyFill="1" applyBorder="1" applyAlignment="1">
      <alignment vertical="center"/>
    </xf>
    <xf numFmtId="41" fontId="11" fillId="16" borderId="2" xfId="1" applyFont="1" applyFill="1" applyBorder="1" applyAlignment="1">
      <alignment vertical="center"/>
    </xf>
    <xf numFmtId="41" fontId="11" fillId="16" borderId="6" xfId="1" applyFont="1" applyFill="1" applyBorder="1" applyAlignment="1">
      <alignment vertical="center"/>
    </xf>
    <xf numFmtId="41" fontId="11" fillId="2" borderId="0" xfId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3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center" vertical="center"/>
    </xf>
    <xf numFmtId="10" fontId="0" fillId="21" borderId="1" xfId="0" applyNumberFormat="1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right"/>
    </xf>
    <xf numFmtId="41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1" fillId="0" borderId="0" xfId="0" applyFont="1"/>
    <xf numFmtId="0" fontId="16" fillId="8" borderId="0" xfId="0" applyFont="1" applyFill="1" applyAlignment="1">
      <alignment horizontal="left" vertical="center"/>
    </xf>
    <xf numFmtId="0" fontId="18" fillId="8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1" fontId="14" fillId="2" borderId="0" xfId="1" applyFont="1" applyFill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8" fillId="22" borderId="2" xfId="0" applyFont="1" applyFill="1" applyBorder="1" applyAlignment="1">
      <alignment horizontal="center" vertical="center"/>
    </xf>
    <xf numFmtId="0" fontId="16" fillId="22" borderId="0" xfId="0" applyFont="1" applyFill="1" applyAlignment="1">
      <alignment horizontal="left" vertical="center" indent="2"/>
    </xf>
    <xf numFmtId="0" fontId="14" fillId="3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18" borderId="7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0" fillId="18" borderId="9" xfId="0" applyFont="1" applyFill="1" applyBorder="1" applyAlignment="1">
      <alignment horizontal="center" vertical="center"/>
    </xf>
    <xf numFmtId="0" fontId="10" fillId="19" borderId="10" xfId="0" applyFont="1" applyFill="1" applyBorder="1" applyAlignment="1">
      <alignment horizontal="center" vertical="center"/>
    </xf>
    <xf numFmtId="0" fontId="10" fillId="19" borderId="11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 textRotation="180"/>
    </xf>
    <xf numFmtId="0" fontId="20" fillId="12" borderId="3" xfId="0" applyFont="1" applyFill="1" applyBorder="1" applyAlignment="1">
      <alignment horizontal="center" vertical="center" textRotation="180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DFFC5"/>
      <color rgb="FFD1CEB9"/>
      <color rgb="FF9BC7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ASSET</a:t>
            </a:r>
            <a:r>
              <a:rPr lang="en-US" sz="2000" baseline="0"/>
              <a:t> ALLOCATION</a:t>
            </a:r>
            <a:endParaRPr lang="en-US" sz="2000"/>
          </a:p>
        </c:rich>
      </c:tx>
      <c:layout>
        <c:manualLayout>
          <c:xMode val="edge"/>
          <c:yMode val="edge"/>
          <c:x val="0.26298583913460499"/>
          <c:y val="3.7707502605380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093711579925014"/>
          <c:y val="0.31561337802105438"/>
          <c:w val="0.39232560425220853"/>
          <c:h val="0.663702891601321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A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E-E649-BBE3-B8018269EBF8}"/>
              </c:ext>
            </c:extLst>
          </c:dPt>
          <c:dPt>
            <c:idx val="1"/>
            <c:bubble3D val="0"/>
            <c:explosion val="1"/>
            <c:spPr>
              <a:solidFill>
                <a:srgbClr val="FF574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E-E649-BBE3-B8018269EBF8}"/>
              </c:ext>
            </c:extLst>
          </c:dPt>
          <c:dPt>
            <c:idx val="2"/>
            <c:bubble3D val="0"/>
            <c:explosion val="2"/>
            <c:spPr>
              <a:solidFill>
                <a:srgbClr val="B4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1E-E649-BBE3-B8018269EB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'UTS - Analisis Portfolio'!$B$16:$B$18</c:f>
              <c:strCache>
                <c:ptCount val="3"/>
                <c:pt idx="0">
                  <c:v>Cash Asset </c:v>
                </c:pt>
                <c:pt idx="1">
                  <c:v>Income Asset </c:v>
                </c:pt>
                <c:pt idx="2">
                  <c:v>Growth Asset </c:v>
                </c:pt>
              </c:strCache>
            </c:strRef>
          </c:cat>
          <c:val>
            <c:numRef>
              <c:f>'UTS - Analisis Portfolio'!$C$16:$C$18</c:f>
              <c:numCache>
                <c:formatCode>0.00%</c:formatCode>
                <c:ptCount val="3"/>
                <c:pt idx="0">
                  <c:v>6.4000000000000001E-2</c:v>
                </c:pt>
                <c:pt idx="1">
                  <c:v>0.43990000000000001</c:v>
                </c:pt>
                <c:pt idx="2">
                  <c:v>0.49609999999999999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1E-E649-BBE3-B8018269E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ASSET</a:t>
            </a:r>
            <a:r>
              <a:rPr lang="en-US" sz="2000" baseline="0"/>
              <a:t> ALLOCATION</a:t>
            </a:r>
            <a:endParaRPr lang="en-US" sz="2000"/>
          </a:p>
        </c:rich>
      </c:tx>
      <c:layout>
        <c:manualLayout>
          <c:xMode val="edge"/>
          <c:yMode val="edge"/>
          <c:x val="0.26298583913460499"/>
          <c:y val="3.7707502605380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093711579925014"/>
          <c:y val="0.31561337802105438"/>
          <c:w val="0.39232560425220853"/>
          <c:h val="0.663702891601321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A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73-5E41-8739-CA0E8F7BF2F1}"/>
              </c:ext>
            </c:extLst>
          </c:dPt>
          <c:dPt>
            <c:idx val="1"/>
            <c:bubble3D val="0"/>
            <c:explosion val="1"/>
            <c:spPr>
              <a:solidFill>
                <a:srgbClr val="FF574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73-5E41-8739-CA0E8F7BF2F1}"/>
              </c:ext>
            </c:extLst>
          </c:dPt>
          <c:dPt>
            <c:idx val="2"/>
            <c:bubble3D val="0"/>
            <c:explosion val="2"/>
            <c:spPr>
              <a:solidFill>
                <a:srgbClr val="B4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73-5E41-8739-CA0E8F7BF2F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'UTS - Analisis Portfolio 2'!$B$15:$B$17</c:f>
              <c:strCache>
                <c:ptCount val="3"/>
                <c:pt idx="0">
                  <c:v>Cash Asset </c:v>
                </c:pt>
                <c:pt idx="1">
                  <c:v>Income Asset </c:v>
                </c:pt>
                <c:pt idx="2">
                  <c:v>Growth Asset </c:v>
                </c:pt>
              </c:strCache>
            </c:strRef>
          </c:cat>
          <c:val>
            <c:numRef>
              <c:f>'UTS - Analisis Portfolio 2'!$C$15:$C$17</c:f>
              <c:numCache>
                <c:formatCode>0.00%</c:formatCode>
                <c:ptCount val="3"/>
                <c:pt idx="0">
                  <c:v>0.1</c:v>
                </c:pt>
                <c:pt idx="1">
                  <c:v>0.28999999999999998</c:v>
                </c:pt>
                <c:pt idx="2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73-5E41-8739-CA0E8F7B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341398</xdr:colOff>
      <xdr:row>1</xdr:row>
      <xdr:rowOff>27311</xdr:rowOff>
    </xdr:from>
    <xdr:to>
      <xdr:col>1</xdr:col>
      <xdr:colOff>3099893</xdr:colOff>
      <xdr:row>1</xdr:row>
      <xdr:rowOff>1300127</xdr:rowOff>
    </xdr:to>
    <xdr:pic>
      <xdr:nvPicPr>
        <xdr:cNvPr id="2" name="Picture 1" descr="Burger Bangor - Franchisepedia">
          <a:extLst>
            <a:ext uri="{FF2B5EF4-FFF2-40B4-BE49-F238E27FC236}">
              <a16:creationId xmlns:a16="http://schemas.microsoft.com/office/drawing/2014/main" id="{CD7E7F6F-E9B9-5D4B-A059-4216EE252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98" y="230511"/>
          <a:ext cx="2758495" cy="1272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12701</xdr:rowOff>
    </xdr:from>
    <xdr:to>
      <xdr:col>1</xdr:col>
      <xdr:colOff>6362700</xdr:colOff>
      <xdr:row>2</xdr:row>
      <xdr:rowOff>173429</xdr:rowOff>
    </xdr:to>
    <xdr:pic>
      <xdr:nvPicPr>
        <xdr:cNvPr id="3" name="Picture 2" descr="Peluang Bisnis Barbershop Barbertopia - Franchise Barbershop No.1">
          <a:extLst>
            <a:ext uri="{FF2B5EF4-FFF2-40B4-BE49-F238E27FC236}">
              <a16:creationId xmlns:a16="http://schemas.microsoft.com/office/drawing/2014/main" id="{674EDF6E-94CB-4C24-14B3-3E17757A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" y="12701"/>
          <a:ext cx="5829300" cy="1672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896362</xdr:colOff>
      <xdr:row>8</xdr:row>
      <xdr:rowOff>151848</xdr:rowOff>
    </xdr:from>
    <xdr:to>
      <xdr:col>8</xdr:col>
      <xdr:colOff>814456</xdr:colOff>
      <xdr:row>20</xdr:row>
      <xdr:rowOff>202647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5EE53-18BC-C343-AE76-9F8DAAF44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896362</xdr:colOff>
      <xdr:row>7</xdr:row>
      <xdr:rowOff>151848</xdr:rowOff>
    </xdr:from>
    <xdr:to>
      <xdr:col>8</xdr:col>
      <xdr:colOff>814456</xdr:colOff>
      <xdr:row>19</xdr:row>
      <xdr:rowOff>202647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9C48E-4739-6E47-BEBC-6ED4DCEFF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kopedia.com/bintangkreasiadvertising/signages-nama-signage-acrylic-neon-box-logo" TargetMode="External"/><Relationship Id="rId2" Type="http://schemas.openxmlformats.org/officeDocument/2006/relationships/hyperlink" Target="https://www.tokopedia.com/tasikjaya/paket-tabung-gas-3kg-isi-selang-paket-regulator-winn-gas-1-8m?extParam=ivf%3Dfalse%26src%3Dsearch" TargetMode="External"/><Relationship Id="rId1" Type="http://schemas.openxmlformats.org/officeDocument/2006/relationships/hyperlink" Target="https://www.tokopedia.com/parabotdapurjkt/kompor-gas-teppan-grill-custom?extParam=ivf%3Dfalse%26src%3Dsearch&amp;refined=true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vestasi.inasekuritas.com/wp-content/uploads/2024/03/FFS_NIBALF_022024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DD81-C1DF-7649-91E1-E88F93344FE6}">
  <dimension ref="B2:P34"/>
  <sheetViews>
    <sheetView zoomScale="86" workbookViewId="0">
      <selection activeCell="C35" sqref="C35"/>
    </sheetView>
  </sheetViews>
  <sheetFormatPr baseColWidth="10" defaultColWidth="10.83203125" defaultRowHeight="16"/>
  <cols>
    <col min="1" max="1" width="6" customWidth="1"/>
    <col min="2" max="2" width="30.6640625" customWidth="1"/>
    <col min="3" max="3" width="13.1640625" bestFit="1" customWidth="1"/>
    <col min="5" max="8" width="13.33203125" bestFit="1" customWidth="1"/>
    <col min="9" max="12" width="14.5" bestFit="1" customWidth="1"/>
    <col min="16" max="16" width="11.5" bestFit="1" customWidth="1"/>
  </cols>
  <sheetData>
    <row r="2" spans="2:12" ht="17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ht="17" customHeight="1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</row>
    <row r="4" spans="2:12" ht="17" customHeight="1">
      <c r="B4" s="4" t="s">
        <v>42</v>
      </c>
      <c r="C4" s="11"/>
      <c r="D4" s="11"/>
      <c r="E4" s="11"/>
      <c r="F4" s="11"/>
      <c r="G4" s="11"/>
      <c r="H4" s="12"/>
      <c r="I4" s="12"/>
      <c r="J4" s="12"/>
      <c r="K4" s="12"/>
      <c r="L4" s="12"/>
    </row>
    <row r="5" spans="2:12" ht="17" customHeight="1">
      <c r="B5" s="5" t="s">
        <v>11</v>
      </c>
      <c r="C5" s="11">
        <v>1</v>
      </c>
      <c r="D5" s="11" t="s">
        <v>24</v>
      </c>
      <c r="E5" s="11">
        <v>-120000000</v>
      </c>
      <c r="F5" s="11">
        <f>C5*E5</f>
        <v>-120000000</v>
      </c>
      <c r="G5" s="11"/>
      <c r="H5" s="12"/>
      <c r="I5" s="12"/>
      <c r="J5" s="12"/>
      <c r="K5" s="12"/>
      <c r="L5" s="12"/>
    </row>
    <row r="6" spans="2:12" ht="17" customHeight="1">
      <c r="B6" s="5" t="s">
        <v>12</v>
      </c>
      <c r="C6" s="11">
        <v>1</v>
      </c>
      <c r="D6" s="11" t="s">
        <v>25</v>
      </c>
      <c r="E6" s="11">
        <v>-30000000</v>
      </c>
      <c r="F6" s="11">
        <f t="shared" ref="F6:F10" si="0">C6*E6</f>
        <v>-30000000</v>
      </c>
      <c r="G6" s="11"/>
      <c r="H6" s="12"/>
      <c r="I6" s="12"/>
      <c r="J6" s="12"/>
      <c r="K6" s="12"/>
      <c r="L6" s="12"/>
    </row>
    <row r="7" spans="2:12" ht="17" customHeight="1">
      <c r="B7" s="5" t="s">
        <v>13</v>
      </c>
      <c r="C7" s="11">
        <v>1</v>
      </c>
      <c r="D7" s="11" t="s">
        <v>24</v>
      </c>
      <c r="E7" s="11">
        <v>-20000000</v>
      </c>
      <c r="F7" s="11">
        <f t="shared" si="0"/>
        <v>-20000000</v>
      </c>
      <c r="G7" s="11"/>
      <c r="H7" s="12"/>
      <c r="I7" s="12"/>
      <c r="J7" s="12"/>
      <c r="K7" s="12"/>
      <c r="L7" s="12"/>
    </row>
    <row r="8" spans="2:12" ht="17" customHeight="1">
      <c r="B8" s="5" t="s">
        <v>21</v>
      </c>
      <c r="C8" s="11">
        <v>4</v>
      </c>
      <c r="D8" s="11" t="s">
        <v>26</v>
      </c>
      <c r="E8" s="11">
        <v>-400000</v>
      </c>
      <c r="F8" s="11">
        <f>C8*E8</f>
        <v>-1600000</v>
      </c>
      <c r="G8" s="11"/>
      <c r="H8" s="12"/>
      <c r="I8" s="12"/>
      <c r="J8" s="12"/>
      <c r="K8" s="12"/>
      <c r="L8" s="12"/>
    </row>
    <row r="9" spans="2:12" ht="17" customHeight="1">
      <c r="B9" s="5" t="s">
        <v>22</v>
      </c>
      <c r="C9" s="11">
        <v>4</v>
      </c>
      <c r="D9" s="11" t="s">
        <v>26</v>
      </c>
      <c r="E9" s="11">
        <v>-2000000</v>
      </c>
      <c r="F9" s="11">
        <f t="shared" si="0"/>
        <v>-8000000</v>
      </c>
      <c r="G9" s="11"/>
      <c r="H9" s="12"/>
      <c r="I9" s="12"/>
      <c r="J9" s="12"/>
      <c r="K9" s="12"/>
      <c r="L9" s="12"/>
    </row>
    <row r="10" spans="2:12" ht="17" customHeight="1">
      <c r="B10" s="5" t="s">
        <v>23</v>
      </c>
      <c r="C10" s="11">
        <v>10</v>
      </c>
      <c r="D10" s="11" t="s">
        <v>27</v>
      </c>
      <c r="E10" s="11">
        <v>-1500000</v>
      </c>
      <c r="F10" s="11">
        <f t="shared" si="0"/>
        <v>-15000000</v>
      </c>
      <c r="G10" s="11"/>
      <c r="H10" s="12"/>
      <c r="I10" s="12"/>
      <c r="J10" s="12"/>
      <c r="K10" s="12"/>
      <c r="L10" s="12"/>
    </row>
    <row r="11" spans="2:12" ht="17" customHeight="1">
      <c r="B11" s="5"/>
      <c r="C11" s="11"/>
      <c r="D11" s="11"/>
      <c r="E11" s="11"/>
      <c r="F11" s="11"/>
      <c r="G11" s="21">
        <f>SUM(F5:F10)</f>
        <v>-194600000</v>
      </c>
      <c r="H11" s="12"/>
      <c r="I11" s="12"/>
      <c r="J11" s="12"/>
      <c r="K11" s="12"/>
      <c r="L11" s="12"/>
    </row>
    <row r="12" spans="2:12" ht="17" customHeight="1">
      <c r="B12" s="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2:12" ht="17" customHeight="1">
      <c r="B13" s="3" t="s">
        <v>37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2:12" ht="17" customHeight="1">
      <c r="B14" s="25" t="s">
        <v>14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2:12" ht="17" customHeight="1">
      <c r="B15" s="6" t="s">
        <v>31</v>
      </c>
      <c r="C15" s="13">
        <v>12</v>
      </c>
      <c r="D15" s="13" t="s">
        <v>28</v>
      </c>
      <c r="E15" s="13">
        <v>60000000</v>
      </c>
      <c r="F15" s="13"/>
      <c r="G15" s="13"/>
      <c r="H15" s="20">
        <f>$E$15*$C$15</f>
        <v>720000000</v>
      </c>
      <c r="I15" s="20">
        <f t="shared" ref="I15:L15" si="1">$E$15*$C$15</f>
        <v>720000000</v>
      </c>
      <c r="J15" s="20">
        <f t="shared" si="1"/>
        <v>720000000</v>
      </c>
      <c r="K15" s="20">
        <f t="shared" si="1"/>
        <v>720000000</v>
      </c>
      <c r="L15" s="20">
        <f t="shared" si="1"/>
        <v>720000000</v>
      </c>
    </row>
    <row r="16" spans="2:12" ht="17" customHeight="1">
      <c r="B16" s="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6" ht="17" customHeight="1">
      <c r="B17" s="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6" ht="17" customHeight="1">
      <c r="B18" s="26" t="s">
        <v>15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2:16" ht="17" customHeight="1">
      <c r="B19" s="7" t="s">
        <v>32</v>
      </c>
      <c r="C19" s="14">
        <v>12</v>
      </c>
      <c r="D19" s="14" t="s">
        <v>28</v>
      </c>
      <c r="E19" s="14">
        <v>-20000000</v>
      </c>
      <c r="F19" s="14"/>
      <c r="G19" s="14"/>
      <c r="H19" s="14">
        <f>$E19*$C19</f>
        <v>-240000000</v>
      </c>
      <c r="I19" s="14">
        <f t="shared" ref="I19:L19" si="2">$E$19*$C$19</f>
        <v>-240000000</v>
      </c>
      <c r="J19" s="14">
        <f t="shared" si="2"/>
        <v>-240000000</v>
      </c>
      <c r="K19" s="14">
        <f t="shared" si="2"/>
        <v>-240000000</v>
      </c>
      <c r="L19" s="14">
        <f t="shared" si="2"/>
        <v>-240000000</v>
      </c>
    </row>
    <row r="20" spans="2:16" ht="17" customHeight="1">
      <c r="B20" s="7" t="s">
        <v>33</v>
      </c>
      <c r="C20" s="14">
        <v>12</v>
      </c>
      <c r="D20" s="14" t="s">
        <v>28</v>
      </c>
      <c r="E20" s="14">
        <v>-2250000</v>
      </c>
      <c r="F20" s="14"/>
      <c r="G20" s="14"/>
      <c r="H20" s="14">
        <f>$E20*$C20</f>
        <v>-27000000</v>
      </c>
      <c r="I20" s="14">
        <f t="shared" ref="I20:L20" si="3">$E20*$C20</f>
        <v>-27000000</v>
      </c>
      <c r="J20" s="14">
        <f t="shared" si="3"/>
        <v>-27000000</v>
      </c>
      <c r="K20" s="14">
        <f t="shared" si="3"/>
        <v>-27000000</v>
      </c>
      <c r="L20" s="14">
        <f t="shared" si="3"/>
        <v>-27000000</v>
      </c>
      <c r="P20" s="156">
        <f>H15+H24</f>
        <v>58177008</v>
      </c>
    </row>
    <row r="21" spans="2:16" ht="17" customHeight="1">
      <c r="B21" s="7" t="s">
        <v>35</v>
      </c>
      <c r="C21" s="14">
        <v>12</v>
      </c>
      <c r="D21" s="14" t="s">
        <v>28</v>
      </c>
      <c r="E21" s="14">
        <v>-13500000</v>
      </c>
      <c r="F21" s="14"/>
      <c r="G21" s="14"/>
      <c r="H21" s="14">
        <f t="shared" ref="H21:L22" si="4">$E21*$C21</f>
        <v>-162000000</v>
      </c>
      <c r="I21" s="14">
        <f t="shared" si="4"/>
        <v>-162000000</v>
      </c>
      <c r="J21" s="14">
        <f t="shared" si="4"/>
        <v>-162000000</v>
      </c>
      <c r="K21" s="14">
        <f t="shared" si="4"/>
        <v>-162000000</v>
      </c>
      <c r="L21" s="14">
        <f t="shared" si="4"/>
        <v>-162000000</v>
      </c>
    </row>
    <row r="22" spans="2:16" ht="17" customHeight="1">
      <c r="B22" s="7" t="s">
        <v>34</v>
      </c>
      <c r="C22" s="14">
        <v>48</v>
      </c>
      <c r="D22" s="14" t="s">
        <v>29</v>
      </c>
      <c r="E22" s="14">
        <v>-4725479</v>
      </c>
      <c r="F22" s="14"/>
      <c r="G22" s="14"/>
      <c r="H22" s="14">
        <f t="shared" si="4"/>
        <v>-226822992</v>
      </c>
      <c r="I22" s="14">
        <f t="shared" si="4"/>
        <v>-226822992</v>
      </c>
      <c r="J22" s="14">
        <f t="shared" si="4"/>
        <v>-226822992</v>
      </c>
      <c r="K22" s="14">
        <f t="shared" si="4"/>
        <v>-226822992</v>
      </c>
      <c r="L22" s="14">
        <f t="shared" si="4"/>
        <v>-226822992</v>
      </c>
    </row>
    <row r="23" spans="2:16" ht="17" customHeight="1">
      <c r="B23" s="7" t="s">
        <v>36</v>
      </c>
      <c r="C23" s="14">
        <v>12</v>
      </c>
      <c r="D23" s="14" t="s">
        <v>30</v>
      </c>
      <c r="E23" s="14">
        <v>-500000</v>
      </c>
      <c r="F23" s="14"/>
      <c r="G23" s="14"/>
      <c r="H23" s="14">
        <f>$E23*$C23</f>
        <v>-6000000</v>
      </c>
      <c r="I23" s="14">
        <f>$E23*$C23</f>
        <v>-6000000</v>
      </c>
      <c r="J23" s="14">
        <f>$E23*$C23</f>
        <v>-6000000</v>
      </c>
      <c r="K23" s="14">
        <f>$E23*$C23</f>
        <v>-6000000</v>
      </c>
      <c r="L23" s="14">
        <f>$E23*$C23</f>
        <v>-6000000</v>
      </c>
    </row>
    <row r="24" spans="2:16" ht="17" customHeight="1">
      <c r="B24" s="7"/>
      <c r="C24" s="14"/>
      <c r="D24" s="14"/>
      <c r="E24" s="14">
        <f>SUM(E19:E23)</f>
        <v>-40975479</v>
      </c>
      <c r="F24" s="14"/>
      <c r="G24" s="14"/>
      <c r="H24" s="15">
        <f>SUM(H19:H23)</f>
        <v>-661822992</v>
      </c>
      <c r="I24" s="15">
        <f t="shared" ref="I24:L24" si="5">SUM(I19:I23)</f>
        <v>-661822992</v>
      </c>
      <c r="J24" s="15">
        <f t="shared" si="5"/>
        <v>-661822992</v>
      </c>
      <c r="K24" s="15">
        <f t="shared" si="5"/>
        <v>-661822992</v>
      </c>
      <c r="L24" s="15">
        <f t="shared" si="5"/>
        <v>-661822992</v>
      </c>
    </row>
    <row r="25" spans="2:16" ht="17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6" ht="17" customHeight="1">
      <c r="B26" s="27" t="s">
        <v>38</v>
      </c>
      <c r="C26" s="9"/>
      <c r="D26" s="9"/>
      <c r="E26" s="9"/>
      <c r="F26" s="9"/>
      <c r="G26" s="17">
        <f>G11</f>
        <v>-194600000</v>
      </c>
      <c r="H26" s="17">
        <f>H15+H24</f>
        <v>58177008</v>
      </c>
      <c r="I26" s="17">
        <f t="shared" ref="I26:L26" si="6">I15+I24</f>
        <v>58177008</v>
      </c>
      <c r="J26" s="17">
        <f t="shared" si="6"/>
        <v>58177008</v>
      </c>
      <c r="K26" s="17">
        <f t="shared" si="6"/>
        <v>58177008</v>
      </c>
      <c r="L26" s="17">
        <f t="shared" si="6"/>
        <v>58177008</v>
      </c>
    </row>
    <row r="27" spans="2:16" ht="17" customHeight="1">
      <c r="B27" s="8"/>
      <c r="C27" s="9"/>
      <c r="D27" s="9"/>
      <c r="E27" s="9"/>
      <c r="F27" s="9"/>
      <c r="G27" s="18"/>
      <c r="H27" s="18"/>
      <c r="I27" s="18"/>
      <c r="J27" s="18"/>
      <c r="K27" s="18"/>
      <c r="L27" s="18"/>
    </row>
    <row r="28" spans="2:16" ht="17" customHeight="1">
      <c r="B28" s="27" t="s">
        <v>41</v>
      </c>
      <c r="C28" s="9">
        <v>12</v>
      </c>
      <c r="D28" s="9" t="s">
        <v>16</v>
      </c>
      <c r="E28" s="9">
        <f>C28%</f>
        <v>0.12</v>
      </c>
      <c r="F28" s="9"/>
      <c r="G28" s="19">
        <f>(1+$E$28)^0</f>
        <v>1</v>
      </c>
      <c r="H28" s="19">
        <f>(1+$E$28)^1</f>
        <v>1.1200000000000001</v>
      </c>
      <c r="I28" s="19">
        <f>(1+$E$28)^2</f>
        <v>1.2544000000000002</v>
      </c>
      <c r="J28" s="19">
        <f>(1+$E$28)^3</f>
        <v>1.4049280000000004</v>
      </c>
      <c r="K28" s="19">
        <f>(1+$E$28)^4</f>
        <v>1.5735193600000004</v>
      </c>
      <c r="L28" s="19">
        <f>(1+$E$28)^5</f>
        <v>1.7623416832000005</v>
      </c>
    </row>
    <row r="29" spans="2:16" ht="17" customHeight="1">
      <c r="B29" s="27" t="s">
        <v>39</v>
      </c>
      <c r="C29" s="9"/>
      <c r="D29" s="9"/>
      <c r="E29" s="9"/>
      <c r="F29" s="9"/>
      <c r="G29" s="17">
        <f>G26/G28</f>
        <v>-194600000</v>
      </c>
      <c r="H29" s="17">
        <f t="shared" ref="H29:L29" si="7">H26/H28</f>
        <v>51943757.142857134</v>
      </c>
      <c r="I29" s="17">
        <f t="shared" si="7"/>
        <v>46378354.591836728</v>
      </c>
      <c r="J29" s="17">
        <f t="shared" si="7"/>
        <v>41409245.171282791</v>
      </c>
      <c r="K29" s="17">
        <f t="shared" si="7"/>
        <v>36972540.33150249</v>
      </c>
      <c r="L29" s="17">
        <f t="shared" si="7"/>
        <v>33011196.724555794</v>
      </c>
    </row>
    <row r="30" spans="2:16" ht="17" customHeight="1">
      <c r="B30" s="27" t="s">
        <v>40</v>
      </c>
      <c r="C30" s="9"/>
      <c r="D30" s="9"/>
      <c r="E30" s="9"/>
      <c r="F30" s="9"/>
      <c r="G30" s="17">
        <f>G29</f>
        <v>-194600000</v>
      </c>
      <c r="H30" s="17">
        <f>G30+H29</f>
        <v>-142656242.85714287</v>
      </c>
      <c r="I30" s="17">
        <f>H30+I29</f>
        <v>-96277888.265306145</v>
      </c>
      <c r="J30" s="17">
        <f>I30+J29</f>
        <v>-54868643.094023354</v>
      </c>
      <c r="K30" s="17">
        <f>J30+K29</f>
        <v>-17896102.762520865</v>
      </c>
      <c r="L30" s="17">
        <f>K30+L29</f>
        <v>15115093.96203493</v>
      </c>
    </row>
    <row r="31" spans="2:16" ht="17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2:16" ht="17" customHeight="1">
      <c r="B32" s="10" t="s">
        <v>17</v>
      </c>
      <c r="C32" s="15">
        <f>NPV(E28,H26:L26)+G26</f>
        <v>15115093.962034941</v>
      </c>
      <c r="D32" s="9"/>
      <c r="E32" s="9"/>
      <c r="F32" s="9"/>
      <c r="G32" s="9"/>
      <c r="H32" s="9"/>
      <c r="I32" s="9"/>
      <c r="J32" s="9"/>
      <c r="K32" s="9"/>
      <c r="L32" s="9"/>
    </row>
    <row r="33" spans="2:12" ht="17" customHeight="1">
      <c r="B33" s="10" t="s">
        <v>18</v>
      </c>
      <c r="C33" s="16">
        <f>IRR(G26:L26)</f>
        <v>0.15090762904560862</v>
      </c>
      <c r="D33" s="9"/>
      <c r="E33" s="9"/>
      <c r="F33" s="9"/>
      <c r="G33" s="9"/>
      <c r="H33" s="9"/>
      <c r="I33" s="9"/>
      <c r="J33" s="9"/>
      <c r="K33" s="9"/>
      <c r="L33" s="9"/>
    </row>
    <row r="34" spans="2:12" ht="17" customHeight="1">
      <c r="B34" s="10" t="s">
        <v>19</v>
      </c>
      <c r="C34" s="68">
        <v>5</v>
      </c>
      <c r="D34" s="9" t="s">
        <v>20</v>
      </c>
      <c r="E34" s="9"/>
      <c r="F34" s="9"/>
      <c r="G34" s="9"/>
      <c r="H34" s="9"/>
      <c r="I34" s="9"/>
      <c r="J34" s="9"/>
      <c r="K34" s="9"/>
      <c r="L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09A3-753A-8F41-914B-B2F37E5A1F90}">
  <dimension ref="B2:L41"/>
  <sheetViews>
    <sheetView zoomScale="75" workbookViewId="0">
      <selection activeCell="R10" sqref="R10"/>
    </sheetView>
  </sheetViews>
  <sheetFormatPr baseColWidth="10" defaultColWidth="10.83203125" defaultRowHeight="16"/>
  <cols>
    <col min="1" max="1" width="6" style="32" customWidth="1"/>
    <col min="2" max="2" width="46" style="32" customWidth="1"/>
    <col min="3" max="3" width="17" style="32" bestFit="1" customWidth="1"/>
    <col min="4" max="4" width="13.33203125" style="32" customWidth="1"/>
    <col min="5" max="5" width="14" style="32" customWidth="1"/>
    <col min="6" max="6" width="15.83203125" style="32" bestFit="1" customWidth="1"/>
    <col min="7" max="7" width="15.33203125" style="32" bestFit="1" customWidth="1"/>
    <col min="8" max="12" width="15.83203125" style="32" bestFit="1" customWidth="1"/>
    <col min="13" max="16384" width="10.83203125" style="32"/>
  </cols>
  <sheetData>
    <row r="2" spans="2:12" ht="103" customHeight="1">
      <c r="C2" s="172" t="s">
        <v>64</v>
      </c>
      <c r="D2" s="172"/>
      <c r="E2" s="172"/>
      <c r="F2" s="172"/>
      <c r="G2" s="172"/>
      <c r="H2" s="172"/>
      <c r="I2" s="172"/>
      <c r="J2" s="172"/>
      <c r="K2" s="172"/>
      <c r="L2" s="172"/>
    </row>
    <row r="4" spans="2:12" ht="28" customHeight="1">
      <c r="B4" s="173" t="s">
        <v>65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</row>
    <row r="5" spans="2:12" ht="17" customHeight="1">
      <c r="B5" s="33" t="s">
        <v>0</v>
      </c>
      <c r="C5" s="33" t="s">
        <v>1</v>
      </c>
      <c r="D5" s="33" t="s">
        <v>2</v>
      </c>
      <c r="E5" s="33" t="s">
        <v>3</v>
      </c>
      <c r="F5" s="33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3" t="s">
        <v>10</v>
      </c>
    </row>
    <row r="6" spans="2:12" ht="17" customHeight="1">
      <c r="B6" s="33">
        <v>1</v>
      </c>
      <c r="C6" s="33">
        <v>2</v>
      </c>
      <c r="D6" s="33">
        <v>3</v>
      </c>
      <c r="E6" s="33">
        <v>4</v>
      </c>
      <c r="F6" s="33">
        <v>5</v>
      </c>
      <c r="G6" s="33">
        <v>6</v>
      </c>
      <c r="H6" s="33">
        <v>7</v>
      </c>
      <c r="I6" s="33">
        <v>8</v>
      </c>
      <c r="J6" s="33">
        <v>9</v>
      </c>
      <c r="K6" s="33">
        <v>10</v>
      </c>
      <c r="L6" s="33">
        <v>11</v>
      </c>
    </row>
    <row r="7" spans="2:12" ht="17" customHeight="1">
      <c r="B7" s="34" t="s">
        <v>42</v>
      </c>
      <c r="C7" s="35"/>
      <c r="D7" s="35"/>
      <c r="E7" s="35"/>
      <c r="F7" s="35"/>
      <c r="G7" s="35"/>
      <c r="H7" s="36"/>
      <c r="I7" s="36"/>
      <c r="J7" s="36"/>
      <c r="K7" s="36"/>
      <c r="L7" s="36"/>
    </row>
    <row r="8" spans="2:12" ht="17" customHeight="1">
      <c r="B8" s="37" t="s">
        <v>67</v>
      </c>
      <c r="C8" s="35"/>
      <c r="D8" s="35"/>
      <c r="E8" s="35"/>
      <c r="F8" s="35">
        <f>C8*E8</f>
        <v>0</v>
      </c>
      <c r="G8" s="35"/>
      <c r="H8" s="36"/>
      <c r="I8" s="36"/>
      <c r="J8" s="36"/>
      <c r="K8" s="36"/>
      <c r="L8" s="36"/>
    </row>
    <row r="9" spans="2:12" ht="17" customHeight="1">
      <c r="B9" s="37"/>
      <c r="C9" s="35"/>
      <c r="D9" s="35"/>
      <c r="E9" s="35"/>
      <c r="F9" s="35">
        <f t="shared" ref="F9:F13" si="0">C9*E9</f>
        <v>0</v>
      </c>
      <c r="G9" s="35"/>
      <c r="H9" s="36"/>
      <c r="I9" s="36"/>
      <c r="J9" s="36"/>
      <c r="K9" s="36"/>
      <c r="L9" s="36"/>
    </row>
    <row r="10" spans="2:12" ht="17" customHeight="1">
      <c r="B10" s="37"/>
      <c r="C10" s="35"/>
      <c r="D10" s="35"/>
      <c r="E10" s="35"/>
      <c r="F10" s="35">
        <f t="shared" si="0"/>
        <v>0</v>
      </c>
      <c r="G10" s="35"/>
      <c r="H10" s="36"/>
      <c r="I10" s="36"/>
      <c r="J10" s="36"/>
      <c r="K10" s="36"/>
      <c r="L10" s="36"/>
    </row>
    <row r="11" spans="2:12" ht="17" customHeight="1">
      <c r="B11" s="37"/>
      <c r="C11" s="35"/>
      <c r="D11" s="35"/>
      <c r="E11" s="35"/>
      <c r="F11" s="35">
        <f>C11*E11</f>
        <v>0</v>
      </c>
      <c r="G11" s="35"/>
      <c r="H11" s="36"/>
      <c r="I11" s="36"/>
      <c r="J11" s="36"/>
      <c r="K11" s="36"/>
      <c r="L11" s="36"/>
    </row>
    <row r="12" spans="2:12" ht="17" customHeight="1">
      <c r="B12" s="37"/>
      <c r="C12" s="35"/>
      <c r="D12" s="35"/>
      <c r="E12" s="35"/>
      <c r="F12" s="35">
        <f t="shared" si="0"/>
        <v>0</v>
      </c>
      <c r="G12" s="35"/>
      <c r="H12" s="36"/>
      <c r="I12" s="36"/>
      <c r="J12" s="36"/>
      <c r="K12" s="36"/>
      <c r="L12" s="36"/>
    </row>
    <row r="13" spans="2:12" ht="17" customHeight="1">
      <c r="B13" s="37"/>
      <c r="C13" s="35"/>
      <c r="D13" s="35"/>
      <c r="E13" s="35"/>
      <c r="F13" s="35">
        <f t="shared" si="0"/>
        <v>0</v>
      </c>
      <c r="G13" s="35"/>
      <c r="H13" s="36"/>
      <c r="I13" s="36"/>
      <c r="J13" s="36"/>
      <c r="K13" s="36"/>
      <c r="L13" s="36"/>
    </row>
    <row r="14" spans="2:12" ht="17" customHeight="1">
      <c r="B14" s="38" t="s">
        <v>49</v>
      </c>
      <c r="C14" s="35"/>
      <c r="D14" s="35"/>
      <c r="E14" s="35"/>
      <c r="F14" s="35"/>
      <c r="G14" s="39">
        <f>SUM(F8:F13)</f>
        <v>0</v>
      </c>
      <c r="H14" s="36"/>
      <c r="I14" s="36"/>
      <c r="J14" s="36"/>
      <c r="K14" s="36"/>
      <c r="L14" s="36"/>
    </row>
    <row r="15" spans="2:12" ht="17" customHeight="1">
      <c r="B15" s="40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2:12" ht="17" customHeight="1">
      <c r="B16" s="41" t="s">
        <v>37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spans="2:12" ht="17" customHeight="1">
      <c r="B17" s="42" t="s">
        <v>14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2:12" ht="17" customHeight="1">
      <c r="B18" s="44"/>
      <c r="C18" s="43"/>
      <c r="D18" s="43"/>
      <c r="E18" s="43"/>
      <c r="F18" s="43">
        <f>C18*E18</f>
        <v>0</v>
      </c>
      <c r="G18" s="43"/>
      <c r="H18" s="43">
        <f t="shared" ref="H18:L20" si="1">$F18</f>
        <v>0</v>
      </c>
      <c r="I18" s="43">
        <f t="shared" si="1"/>
        <v>0</v>
      </c>
      <c r="J18" s="43">
        <f t="shared" si="1"/>
        <v>0</v>
      </c>
      <c r="K18" s="43">
        <f t="shared" si="1"/>
        <v>0</v>
      </c>
      <c r="L18" s="43">
        <f t="shared" si="1"/>
        <v>0</v>
      </c>
    </row>
    <row r="19" spans="2:12" ht="17" customHeight="1">
      <c r="B19" s="44"/>
      <c r="C19" s="43"/>
      <c r="D19" s="43"/>
      <c r="E19" s="43"/>
      <c r="F19" s="43">
        <f t="shared" ref="F19:F20" si="2">C19*E19</f>
        <v>0</v>
      </c>
      <c r="G19" s="43"/>
      <c r="H19" s="43">
        <f t="shared" si="1"/>
        <v>0</v>
      </c>
      <c r="I19" s="43">
        <f t="shared" si="1"/>
        <v>0</v>
      </c>
      <c r="J19" s="43">
        <f t="shared" si="1"/>
        <v>0</v>
      </c>
      <c r="K19" s="43">
        <f t="shared" si="1"/>
        <v>0</v>
      </c>
      <c r="L19" s="43">
        <f t="shared" si="1"/>
        <v>0</v>
      </c>
    </row>
    <row r="20" spans="2:12" ht="17" customHeight="1">
      <c r="B20" s="44"/>
      <c r="C20" s="43"/>
      <c r="D20" s="43"/>
      <c r="E20" s="43"/>
      <c r="F20" s="43">
        <f t="shared" si="2"/>
        <v>0</v>
      </c>
      <c r="G20" s="43"/>
      <c r="H20" s="43">
        <f t="shared" si="1"/>
        <v>0</v>
      </c>
      <c r="I20" s="43">
        <f t="shared" si="1"/>
        <v>0</v>
      </c>
      <c r="J20" s="43">
        <f t="shared" si="1"/>
        <v>0</v>
      </c>
      <c r="K20" s="43">
        <f t="shared" si="1"/>
        <v>0</v>
      </c>
      <c r="L20" s="43">
        <f t="shared" si="1"/>
        <v>0</v>
      </c>
    </row>
    <row r="21" spans="2:12" ht="17" customHeight="1">
      <c r="B21" s="45" t="s">
        <v>53</v>
      </c>
      <c r="C21" s="43"/>
      <c r="D21" s="43"/>
      <c r="E21" s="43"/>
      <c r="F21" s="43">
        <f>SUM(F18:F20)</f>
        <v>0</v>
      </c>
      <c r="G21" s="43"/>
      <c r="H21" s="46">
        <f>SUM(H18:H20)</f>
        <v>0</v>
      </c>
      <c r="I21" s="46">
        <f>SUM(I18:I20)</f>
        <v>0</v>
      </c>
      <c r="J21" s="46">
        <f>SUM(J18:J20)</f>
        <v>0</v>
      </c>
      <c r="K21" s="46">
        <f>SUM(K18:K20)</f>
        <v>0</v>
      </c>
      <c r="L21" s="46">
        <f>SUM(L18:L20)</f>
        <v>0</v>
      </c>
    </row>
    <row r="22" spans="2:12" ht="17" customHeight="1">
      <c r="B22" s="40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2:12" ht="17" customHeight="1">
      <c r="B23" s="40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 spans="2:12" ht="17" customHeight="1">
      <c r="B24" s="47" t="s">
        <v>15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2:12" ht="17" customHeight="1">
      <c r="B25" s="49"/>
      <c r="C25" s="48"/>
      <c r="D25" s="48"/>
      <c r="E25" s="48"/>
      <c r="F25" s="48">
        <f t="shared" ref="F25:F30" si="3">C25*E25</f>
        <v>0</v>
      </c>
      <c r="G25" s="48"/>
      <c r="H25" s="48">
        <f t="shared" ref="H25:L30" si="4">$F25</f>
        <v>0</v>
      </c>
      <c r="I25" s="48">
        <f t="shared" si="4"/>
        <v>0</v>
      </c>
      <c r="J25" s="48">
        <f t="shared" si="4"/>
        <v>0</v>
      </c>
      <c r="K25" s="48">
        <f t="shared" si="4"/>
        <v>0</v>
      </c>
      <c r="L25" s="48">
        <f t="shared" si="4"/>
        <v>0</v>
      </c>
    </row>
    <row r="26" spans="2:12" ht="17" customHeight="1">
      <c r="B26" s="49"/>
      <c r="C26" s="48"/>
      <c r="D26" s="48"/>
      <c r="E26" s="48"/>
      <c r="F26" s="48">
        <f t="shared" si="3"/>
        <v>0</v>
      </c>
      <c r="G26" s="48"/>
      <c r="H26" s="48">
        <f t="shared" si="4"/>
        <v>0</v>
      </c>
      <c r="I26" s="48">
        <f t="shared" si="4"/>
        <v>0</v>
      </c>
      <c r="J26" s="48">
        <f t="shared" si="4"/>
        <v>0</v>
      </c>
      <c r="K26" s="48">
        <f t="shared" si="4"/>
        <v>0</v>
      </c>
      <c r="L26" s="48">
        <f t="shared" si="4"/>
        <v>0</v>
      </c>
    </row>
    <row r="27" spans="2:12" ht="17" customHeight="1">
      <c r="B27" s="49"/>
      <c r="C27" s="48"/>
      <c r="D27" s="48"/>
      <c r="E27" s="48"/>
      <c r="F27" s="48">
        <f t="shared" si="3"/>
        <v>0</v>
      </c>
      <c r="G27" s="48"/>
      <c r="H27" s="48">
        <f t="shared" si="4"/>
        <v>0</v>
      </c>
      <c r="I27" s="48">
        <f t="shared" si="4"/>
        <v>0</v>
      </c>
      <c r="J27" s="48">
        <f t="shared" si="4"/>
        <v>0</v>
      </c>
      <c r="K27" s="48">
        <f t="shared" si="4"/>
        <v>0</v>
      </c>
      <c r="L27" s="48">
        <f t="shared" si="4"/>
        <v>0</v>
      </c>
    </row>
    <row r="28" spans="2:12" ht="17" customHeight="1">
      <c r="B28" s="49"/>
      <c r="C28" s="48"/>
      <c r="D28" s="48"/>
      <c r="E28" s="48"/>
      <c r="F28" s="48">
        <f t="shared" si="3"/>
        <v>0</v>
      </c>
      <c r="G28" s="48"/>
      <c r="H28" s="48">
        <f t="shared" si="4"/>
        <v>0</v>
      </c>
      <c r="I28" s="48">
        <f t="shared" si="4"/>
        <v>0</v>
      </c>
      <c r="J28" s="48">
        <f t="shared" si="4"/>
        <v>0</v>
      </c>
      <c r="K28" s="48">
        <f t="shared" si="4"/>
        <v>0</v>
      </c>
      <c r="L28" s="48">
        <f t="shared" si="4"/>
        <v>0</v>
      </c>
    </row>
    <row r="29" spans="2:12" ht="17" customHeight="1">
      <c r="B29" s="49"/>
      <c r="C29" s="48"/>
      <c r="D29" s="48"/>
      <c r="E29" s="48"/>
      <c r="F29" s="48">
        <f t="shared" si="3"/>
        <v>0</v>
      </c>
      <c r="G29" s="48"/>
      <c r="H29" s="48">
        <f t="shared" si="4"/>
        <v>0</v>
      </c>
      <c r="I29" s="48">
        <f t="shared" si="4"/>
        <v>0</v>
      </c>
      <c r="J29" s="48">
        <f t="shared" si="4"/>
        <v>0</v>
      </c>
      <c r="K29" s="48">
        <f t="shared" si="4"/>
        <v>0</v>
      </c>
      <c r="L29" s="48">
        <f t="shared" si="4"/>
        <v>0</v>
      </c>
    </row>
    <row r="30" spans="2:12" ht="17" customHeight="1">
      <c r="B30" s="49"/>
      <c r="C30" s="48"/>
      <c r="D30" s="48"/>
      <c r="E30" s="48"/>
      <c r="F30" s="48">
        <f t="shared" si="3"/>
        <v>0</v>
      </c>
      <c r="G30" s="48"/>
      <c r="H30" s="48">
        <f t="shared" si="4"/>
        <v>0</v>
      </c>
      <c r="I30" s="48">
        <f t="shared" si="4"/>
        <v>0</v>
      </c>
      <c r="J30" s="48">
        <f t="shared" si="4"/>
        <v>0</v>
      </c>
      <c r="K30" s="48">
        <f t="shared" si="4"/>
        <v>0</v>
      </c>
      <c r="L30" s="48">
        <f t="shared" si="4"/>
        <v>0</v>
      </c>
    </row>
    <row r="31" spans="2:12" ht="17" customHeight="1">
      <c r="B31" s="50" t="s">
        <v>62</v>
      </c>
      <c r="C31" s="48"/>
      <c r="D31" s="48"/>
      <c r="E31" s="48"/>
      <c r="F31" s="48">
        <f>SUM(F25:F30)</f>
        <v>0</v>
      </c>
      <c r="G31" s="48"/>
      <c r="H31" s="51">
        <f>SUM(H25:H30)</f>
        <v>0</v>
      </c>
      <c r="I31" s="51">
        <f t="shared" ref="I31:L31" si="5">SUM(I25:I30)</f>
        <v>0</v>
      </c>
      <c r="J31" s="51">
        <f t="shared" si="5"/>
        <v>0</v>
      </c>
      <c r="K31" s="51">
        <f t="shared" si="5"/>
        <v>0</v>
      </c>
      <c r="L31" s="51">
        <f t="shared" si="5"/>
        <v>0</v>
      </c>
    </row>
    <row r="32" spans="2:12" ht="17" customHeight="1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2:12" ht="17" customHeight="1">
      <c r="B33" s="52" t="s">
        <v>38</v>
      </c>
      <c r="C33" s="53"/>
      <c r="D33" s="53"/>
      <c r="E33" s="53"/>
      <c r="F33" s="53"/>
      <c r="G33" s="54">
        <f>G14</f>
        <v>0</v>
      </c>
      <c r="H33" s="54">
        <f>H21+H31</f>
        <v>0</v>
      </c>
      <c r="I33" s="54">
        <f>I21+I31</f>
        <v>0</v>
      </c>
      <c r="J33" s="54">
        <f>J21+J31</f>
        <v>0</v>
      </c>
      <c r="K33" s="54">
        <f>K21+K31</f>
        <v>0</v>
      </c>
      <c r="L33" s="54">
        <f>L21+L31</f>
        <v>0</v>
      </c>
    </row>
    <row r="34" spans="2:12" ht="17" customHeight="1">
      <c r="B34" s="52"/>
      <c r="C34" s="53"/>
      <c r="D34" s="53"/>
      <c r="E34" s="53"/>
      <c r="F34" s="53"/>
      <c r="G34" s="55"/>
      <c r="H34" s="55"/>
      <c r="I34" s="55"/>
      <c r="J34" s="55"/>
      <c r="K34" s="55"/>
      <c r="L34" s="55"/>
    </row>
    <row r="35" spans="2:12" ht="17" customHeight="1">
      <c r="B35" s="52" t="s">
        <v>66</v>
      </c>
      <c r="C35" s="53">
        <v>20</v>
      </c>
      <c r="D35" s="53" t="s">
        <v>16</v>
      </c>
      <c r="E35" s="53">
        <f>C35%</f>
        <v>0.2</v>
      </c>
      <c r="F35" s="53"/>
      <c r="G35" s="56">
        <f>(1+$E$35)^0</f>
        <v>1</v>
      </c>
      <c r="H35" s="56">
        <f>(1+$E$35)^1</f>
        <v>1.2</v>
      </c>
      <c r="I35" s="56">
        <f>(1+$E$35)^2</f>
        <v>1.44</v>
      </c>
      <c r="J35" s="56">
        <f>(1+$E$35)^3</f>
        <v>1.728</v>
      </c>
      <c r="K35" s="56">
        <f>(1+$E$35)^4</f>
        <v>2.0735999999999999</v>
      </c>
      <c r="L35" s="56">
        <f>(1+$E$35)^5</f>
        <v>2.4883199999999999</v>
      </c>
    </row>
    <row r="36" spans="2:12" ht="17" customHeight="1">
      <c r="B36" s="52" t="s">
        <v>39</v>
      </c>
      <c r="C36" s="53"/>
      <c r="D36" s="53"/>
      <c r="E36" s="53"/>
      <c r="F36" s="53"/>
      <c r="G36" s="54">
        <f>G33/G35</f>
        <v>0</v>
      </c>
      <c r="H36" s="54">
        <f>H33/H35</f>
        <v>0</v>
      </c>
      <c r="I36" s="54">
        <f t="shared" ref="I36:L36" si="6">I33/I35</f>
        <v>0</v>
      </c>
      <c r="J36" s="54">
        <f t="shared" si="6"/>
        <v>0</v>
      </c>
      <c r="K36" s="54">
        <f>K33/K35</f>
        <v>0</v>
      </c>
      <c r="L36" s="54">
        <f t="shared" si="6"/>
        <v>0</v>
      </c>
    </row>
    <row r="37" spans="2:12" ht="17" customHeight="1">
      <c r="B37" s="52" t="s">
        <v>40</v>
      </c>
      <c r="C37" s="53"/>
      <c r="D37" s="53"/>
      <c r="E37" s="53"/>
      <c r="F37" s="53"/>
      <c r="G37" s="54">
        <f>G36</f>
        <v>0</v>
      </c>
      <c r="H37" s="54">
        <f>G37+H36</f>
        <v>0</v>
      </c>
      <c r="I37" s="54">
        <f>H37+I36</f>
        <v>0</v>
      </c>
      <c r="J37" s="54">
        <f>I37+J36</f>
        <v>0</v>
      </c>
      <c r="K37" s="54">
        <f>J37+K36</f>
        <v>0</v>
      </c>
      <c r="L37" s="54">
        <f>K37+L36</f>
        <v>0</v>
      </c>
    </row>
    <row r="38" spans="2:12" ht="17" customHeight="1"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2:12" ht="17" customHeight="1">
      <c r="B39" s="57" t="s">
        <v>17</v>
      </c>
      <c r="C39" s="51">
        <f>NPV(E35,H33:L33)+G33</f>
        <v>0</v>
      </c>
      <c r="D39" s="53"/>
      <c r="E39" s="53"/>
      <c r="F39" s="53"/>
      <c r="G39" s="53"/>
      <c r="H39" s="53"/>
      <c r="I39" s="53"/>
      <c r="J39" s="53"/>
      <c r="K39" s="53"/>
      <c r="L39" s="53"/>
    </row>
    <row r="40" spans="2:12" ht="17" customHeight="1">
      <c r="B40" s="57" t="s">
        <v>18</v>
      </c>
      <c r="C40" s="58" t="e">
        <f>IRR(G33:L33)</f>
        <v>#NUM!</v>
      </c>
      <c r="D40" s="53"/>
      <c r="E40" s="53"/>
      <c r="F40" s="53"/>
      <c r="G40" s="53"/>
      <c r="H40" s="53"/>
      <c r="I40" s="53"/>
      <c r="J40" s="53"/>
      <c r="K40" s="53"/>
      <c r="L40" s="53"/>
    </row>
    <row r="41" spans="2:12" ht="17" customHeight="1">
      <c r="B41" s="57" t="s">
        <v>19</v>
      </c>
      <c r="C41" s="59" t="e">
        <f>C39/L33</f>
        <v>#DIV/0!</v>
      </c>
      <c r="D41" s="53" t="s">
        <v>20</v>
      </c>
      <c r="E41" s="53"/>
      <c r="F41" s="53"/>
      <c r="G41" s="53"/>
      <c r="H41" s="53"/>
      <c r="I41" s="53"/>
      <c r="J41" s="53"/>
      <c r="K41" s="53"/>
      <c r="L41" s="53"/>
    </row>
  </sheetData>
  <mergeCells count="2">
    <mergeCell ref="C2:L2"/>
    <mergeCell ref="B4:L4"/>
  </mergeCells>
  <pageMargins left="0.7" right="0.7" top="0.75" bottom="0.75" header="0.3" footer="0.3"/>
  <pageSetup paperSize="9" scale="0" firstPageNumber="0" fitToWidth="0" fitToHeight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F466-82D5-5945-B7F9-E58D2AA4456A}">
  <dimension ref="A2:W39"/>
  <sheetViews>
    <sheetView topLeftCell="B1" zoomScale="85" workbookViewId="0">
      <selection activeCell="C18" sqref="C18"/>
    </sheetView>
  </sheetViews>
  <sheetFormatPr baseColWidth="10" defaultColWidth="10.83203125" defaultRowHeight="16"/>
  <cols>
    <col min="1" max="1" width="47.6640625" customWidth="1"/>
    <col min="2" max="2" width="37.6640625" customWidth="1"/>
    <col min="3" max="3" width="44.83203125" customWidth="1"/>
    <col min="4" max="4" width="17" bestFit="1" customWidth="1"/>
    <col min="5" max="5" width="13.33203125" customWidth="1"/>
    <col min="6" max="6" width="14" customWidth="1"/>
    <col min="7" max="7" width="16.33203125" bestFit="1" customWidth="1"/>
    <col min="8" max="8" width="15.33203125" bestFit="1" customWidth="1"/>
    <col min="9" max="13" width="16.33203125" bestFit="1" customWidth="1"/>
  </cols>
  <sheetData>
    <row r="2" spans="1:23" ht="22" customHeight="1">
      <c r="C2" s="174" t="s">
        <v>63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</row>
    <row r="3" spans="1:23" ht="17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23" ht="17" customHeight="1"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</row>
    <row r="5" spans="1:23" ht="17" customHeight="1">
      <c r="C5" s="4" t="s">
        <v>42</v>
      </c>
      <c r="D5" s="11"/>
      <c r="E5" s="11"/>
      <c r="F5" s="11"/>
      <c r="G5" s="11"/>
      <c r="H5" s="11"/>
      <c r="I5" s="12"/>
      <c r="J5" s="12"/>
      <c r="K5" s="12"/>
      <c r="L5" s="12"/>
      <c r="M5" s="12"/>
    </row>
    <row r="6" spans="1:23" ht="17" customHeight="1">
      <c r="A6" t="s">
        <v>82</v>
      </c>
      <c r="B6" t="s">
        <v>75</v>
      </c>
      <c r="C6" s="5" t="s">
        <v>48</v>
      </c>
      <c r="D6" s="11">
        <v>1</v>
      </c>
      <c r="E6" s="11" t="s">
        <v>24</v>
      </c>
      <c r="F6" s="11">
        <v>-50000000</v>
      </c>
      <c r="G6" s="11">
        <f>D6*F6</f>
        <v>-50000000</v>
      </c>
      <c r="H6" s="11"/>
      <c r="I6" s="12"/>
      <c r="J6" s="12"/>
      <c r="K6" s="12"/>
      <c r="L6" s="12"/>
      <c r="M6" s="12"/>
    </row>
    <row r="7" spans="1:23" ht="17" customHeight="1">
      <c r="A7" t="s">
        <v>83</v>
      </c>
      <c r="B7" t="s">
        <v>76</v>
      </c>
      <c r="C7" s="5" t="s">
        <v>43</v>
      </c>
      <c r="D7" s="11">
        <v>1</v>
      </c>
      <c r="E7" s="11" t="s">
        <v>25</v>
      </c>
      <c r="F7" s="11">
        <v>-500000000</v>
      </c>
      <c r="G7" s="11">
        <f t="shared" ref="G7:G11" si="0">D7*F7</f>
        <v>-500000000</v>
      </c>
      <c r="H7" s="11"/>
      <c r="I7" s="12"/>
      <c r="J7" s="12"/>
      <c r="K7" s="12"/>
      <c r="L7" s="12"/>
      <c r="M7" s="12"/>
    </row>
    <row r="8" spans="1:23" ht="17" customHeight="1">
      <c r="A8" t="s">
        <v>116</v>
      </c>
      <c r="B8" t="s">
        <v>77</v>
      </c>
      <c r="C8" s="5" t="s">
        <v>44</v>
      </c>
      <c r="D8" s="11">
        <v>1</v>
      </c>
      <c r="E8" s="11" t="s">
        <v>24</v>
      </c>
      <c r="F8" s="11">
        <v>-600000000</v>
      </c>
      <c r="G8" s="11">
        <f t="shared" si="0"/>
        <v>-600000000</v>
      </c>
      <c r="H8" s="11"/>
      <c r="I8" s="12"/>
      <c r="J8" s="12"/>
      <c r="K8" s="12"/>
      <c r="L8" s="12"/>
      <c r="M8" s="12"/>
    </row>
    <row r="9" spans="1:23" ht="17" customHeight="1">
      <c r="A9" t="s">
        <v>117</v>
      </c>
      <c r="B9" t="s">
        <v>78</v>
      </c>
      <c r="C9" s="5" t="s">
        <v>21</v>
      </c>
      <c r="D9" s="11">
        <v>10</v>
      </c>
      <c r="E9" s="11" t="s">
        <v>26</v>
      </c>
      <c r="F9" s="11">
        <v>-500000</v>
      </c>
      <c r="G9" s="11">
        <f>D9*F9</f>
        <v>-5000000</v>
      </c>
      <c r="H9" s="11"/>
      <c r="I9" s="12"/>
      <c r="J9" s="12"/>
      <c r="K9" s="12"/>
      <c r="L9" s="12"/>
      <c r="M9" s="12"/>
      <c r="T9" t="s">
        <v>90</v>
      </c>
      <c r="U9" t="s">
        <v>71</v>
      </c>
      <c r="V9" t="s">
        <v>91</v>
      </c>
      <c r="W9" t="s">
        <v>91</v>
      </c>
    </row>
    <row r="10" spans="1:23" ht="17" customHeight="1">
      <c r="A10" t="s">
        <v>118</v>
      </c>
      <c r="B10" t="s">
        <v>79</v>
      </c>
      <c r="C10" s="5" t="s">
        <v>46</v>
      </c>
      <c r="D10" s="11">
        <v>1</v>
      </c>
      <c r="E10" s="11" t="s">
        <v>24</v>
      </c>
      <c r="F10" s="11">
        <v>-55000000</v>
      </c>
      <c r="G10" s="11">
        <f t="shared" si="0"/>
        <v>-55000000</v>
      </c>
      <c r="H10" s="11"/>
      <c r="I10" s="12"/>
      <c r="J10" s="12"/>
      <c r="K10" s="12"/>
      <c r="L10" s="12"/>
      <c r="M10" s="12"/>
      <c r="T10" t="s">
        <v>92</v>
      </c>
      <c r="U10" t="s">
        <v>71</v>
      </c>
      <c r="V10" t="s">
        <v>91</v>
      </c>
      <c r="W10" t="s">
        <v>91</v>
      </c>
    </row>
    <row r="11" spans="1:23" ht="17" customHeight="1">
      <c r="A11" t="s">
        <v>119</v>
      </c>
      <c r="B11" t="s">
        <v>80</v>
      </c>
      <c r="C11" s="5" t="s">
        <v>45</v>
      </c>
      <c r="D11" s="11">
        <v>1</v>
      </c>
      <c r="E11" s="11" t="s">
        <v>47</v>
      </c>
      <c r="F11" s="11">
        <v>-40000000</v>
      </c>
      <c r="G11" s="11">
        <f t="shared" si="0"/>
        <v>-40000000</v>
      </c>
      <c r="H11" s="11"/>
      <c r="I11" s="12"/>
      <c r="J11" s="12"/>
      <c r="K11" s="12"/>
      <c r="L11" s="12"/>
      <c r="M11" s="12"/>
      <c r="T11" t="s">
        <v>93</v>
      </c>
      <c r="U11" t="s">
        <v>73</v>
      </c>
      <c r="V11" t="s">
        <v>91</v>
      </c>
      <c r="W11" t="s">
        <v>91</v>
      </c>
    </row>
    <row r="12" spans="1:23" ht="17" customHeight="1">
      <c r="A12" t="s">
        <v>120</v>
      </c>
      <c r="B12" t="s">
        <v>81</v>
      </c>
      <c r="C12" s="22" t="s">
        <v>49</v>
      </c>
      <c r="D12" s="11"/>
      <c r="E12" s="11"/>
      <c r="F12" s="11"/>
      <c r="G12" s="11"/>
      <c r="H12" s="21">
        <f>SUM(G6:G11)</f>
        <v>-1250000000</v>
      </c>
      <c r="I12" s="12"/>
      <c r="J12" s="12"/>
      <c r="K12" s="12"/>
      <c r="L12" s="12"/>
      <c r="M12" s="12"/>
      <c r="T12" t="s">
        <v>94</v>
      </c>
      <c r="U12" t="s">
        <v>71</v>
      </c>
      <c r="V12" t="s">
        <v>91</v>
      </c>
      <c r="W12" t="s">
        <v>91</v>
      </c>
    </row>
    <row r="13" spans="1:23" ht="17" customHeight="1">
      <c r="A13" t="s">
        <v>84</v>
      </c>
      <c r="C13" s="2"/>
      <c r="D13" s="12"/>
      <c r="E13" s="12"/>
      <c r="F13" s="12"/>
      <c r="G13" s="12"/>
      <c r="H13" s="12"/>
      <c r="I13" s="12"/>
      <c r="J13" s="12"/>
      <c r="K13" s="12"/>
      <c r="L13" s="12"/>
      <c r="M13" s="12"/>
      <c r="T13" t="s">
        <v>95</v>
      </c>
      <c r="U13" t="s">
        <v>72</v>
      </c>
      <c r="V13" t="s">
        <v>91</v>
      </c>
      <c r="W13" t="s">
        <v>91</v>
      </c>
    </row>
    <row r="14" spans="1:23" ht="17" customHeight="1">
      <c r="A14" t="s">
        <v>85</v>
      </c>
      <c r="C14" s="3" t="s">
        <v>37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T14" t="s">
        <v>96</v>
      </c>
      <c r="U14" t="s">
        <v>71</v>
      </c>
      <c r="V14" t="s">
        <v>91</v>
      </c>
      <c r="W14" t="s">
        <v>91</v>
      </c>
    </row>
    <row r="15" spans="1:23" ht="17" customHeight="1">
      <c r="A15" t="s">
        <v>86</v>
      </c>
      <c r="C15" s="25" t="s">
        <v>14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T15" t="s">
        <v>97</v>
      </c>
      <c r="U15" t="s">
        <v>68</v>
      </c>
      <c r="V15" t="s">
        <v>91</v>
      </c>
      <c r="W15" t="s">
        <v>91</v>
      </c>
    </row>
    <row r="16" spans="1:23" ht="17" customHeight="1">
      <c r="A16" t="s">
        <v>87</v>
      </c>
      <c r="C16" s="6" t="s">
        <v>50</v>
      </c>
      <c r="D16" s="13">
        <v>12</v>
      </c>
      <c r="E16" s="13" t="s">
        <v>28</v>
      </c>
      <c r="F16" s="13">
        <v>238875000</v>
      </c>
      <c r="G16" s="13">
        <f>D16*F16</f>
        <v>2866500000</v>
      </c>
      <c r="H16" s="13"/>
      <c r="I16" s="13">
        <f t="shared" ref="I16:M18" si="1">$G16</f>
        <v>2866500000</v>
      </c>
      <c r="J16" s="13">
        <f t="shared" si="1"/>
        <v>2866500000</v>
      </c>
      <c r="K16" s="13">
        <f t="shared" si="1"/>
        <v>2866500000</v>
      </c>
      <c r="L16" s="13">
        <f t="shared" si="1"/>
        <v>2866500000</v>
      </c>
      <c r="M16" s="13">
        <f t="shared" si="1"/>
        <v>2866500000</v>
      </c>
      <c r="T16" t="s">
        <v>98</v>
      </c>
      <c r="U16" t="s">
        <v>68</v>
      </c>
      <c r="V16" t="s">
        <v>91</v>
      </c>
      <c r="W16" t="s">
        <v>91</v>
      </c>
    </row>
    <row r="17" spans="1:23" ht="17" customHeight="1">
      <c r="A17" t="s">
        <v>88</v>
      </c>
      <c r="C17" s="6" t="s">
        <v>51</v>
      </c>
      <c r="D17" s="13">
        <v>12</v>
      </c>
      <c r="E17" s="13" t="s">
        <v>28</v>
      </c>
      <c r="F17" s="13">
        <v>78000000</v>
      </c>
      <c r="G17" s="13">
        <f t="shared" ref="G17:G18" si="2">D17*F17</f>
        <v>936000000</v>
      </c>
      <c r="H17" s="13"/>
      <c r="I17" s="13">
        <f t="shared" si="1"/>
        <v>936000000</v>
      </c>
      <c r="J17" s="13">
        <f t="shared" si="1"/>
        <v>936000000</v>
      </c>
      <c r="K17" s="13">
        <f t="shared" si="1"/>
        <v>936000000</v>
      </c>
      <c r="L17" s="13">
        <f t="shared" si="1"/>
        <v>936000000</v>
      </c>
      <c r="M17" s="13">
        <f t="shared" si="1"/>
        <v>936000000</v>
      </c>
      <c r="T17" t="s">
        <v>99</v>
      </c>
      <c r="U17" t="s">
        <v>71</v>
      </c>
      <c r="V17" t="s">
        <v>91</v>
      </c>
      <c r="W17" t="s">
        <v>91</v>
      </c>
    </row>
    <row r="18" spans="1:23" ht="17" customHeight="1">
      <c r="A18" t="s">
        <v>89</v>
      </c>
      <c r="C18" s="6" t="s">
        <v>52</v>
      </c>
      <c r="D18" s="13">
        <v>12</v>
      </c>
      <c r="E18" s="13" t="s">
        <v>60</v>
      </c>
      <c r="F18" s="13">
        <v>8125000</v>
      </c>
      <c r="G18" s="13">
        <f t="shared" si="2"/>
        <v>97500000</v>
      </c>
      <c r="H18" s="13"/>
      <c r="I18" s="13">
        <f t="shared" si="1"/>
        <v>97500000</v>
      </c>
      <c r="J18" s="13">
        <f t="shared" si="1"/>
        <v>97500000</v>
      </c>
      <c r="K18" s="13">
        <f t="shared" si="1"/>
        <v>97500000</v>
      </c>
      <c r="L18" s="13">
        <f t="shared" si="1"/>
        <v>97500000</v>
      </c>
      <c r="M18" s="13">
        <f t="shared" si="1"/>
        <v>97500000</v>
      </c>
      <c r="T18" t="s">
        <v>100</v>
      </c>
      <c r="U18" t="s">
        <v>68</v>
      </c>
      <c r="V18" t="s">
        <v>91</v>
      </c>
      <c r="W18" t="s">
        <v>91</v>
      </c>
    </row>
    <row r="19" spans="1:23" ht="17" customHeight="1">
      <c r="A19" t="s">
        <v>112</v>
      </c>
      <c r="C19" s="23" t="s">
        <v>53</v>
      </c>
      <c r="D19" s="13"/>
      <c r="E19" s="13"/>
      <c r="F19" s="13"/>
      <c r="G19" s="13">
        <f>SUM(G16:G18)</f>
        <v>3900000000</v>
      </c>
      <c r="H19" s="13"/>
      <c r="I19" s="20">
        <f>SUM(I16:I18)</f>
        <v>3900000000</v>
      </c>
      <c r="J19" s="20">
        <f>SUM(J16:J18)</f>
        <v>3900000000</v>
      </c>
      <c r="K19" s="20">
        <f>SUM(K16:K18)</f>
        <v>3900000000</v>
      </c>
      <c r="L19" s="20">
        <f>SUM(L16:L18)</f>
        <v>3900000000</v>
      </c>
      <c r="M19" s="20">
        <f>SUM(M16:M18)</f>
        <v>3900000000</v>
      </c>
      <c r="T19" t="s">
        <v>101</v>
      </c>
    </row>
    <row r="20" spans="1:23" ht="17" customHeight="1">
      <c r="A20" t="s">
        <v>111</v>
      </c>
      <c r="C20" s="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3" ht="17" customHeight="1">
      <c r="A21" t="s">
        <v>113</v>
      </c>
      <c r="C21" s="2"/>
      <c r="D21" s="12"/>
      <c r="E21" s="12"/>
      <c r="F21" s="12"/>
      <c r="G21" s="12"/>
      <c r="H21" s="12"/>
      <c r="I21" s="12"/>
      <c r="J21" s="12"/>
      <c r="K21" s="12"/>
      <c r="L21" s="12"/>
      <c r="M21" s="12"/>
      <c r="T21" t="s">
        <v>102</v>
      </c>
      <c r="U21" t="s">
        <v>103</v>
      </c>
      <c r="V21" t="s">
        <v>104</v>
      </c>
      <c r="W21" t="s">
        <v>104</v>
      </c>
    </row>
    <row r="22" spans="1:23" ht="17" customHeight="1">
      <c r="A22" t="s">
        <v>114</v>
      </c>
      <c r="C22" s="30" t="s">
        <v>15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T22" t="s">
        <v>105</v>
      </c>
    </row>
    <row r="23" spans="1:23" ht="17" customHeight="1">
      <c r="A23" t="s">
        <v>115</v>
      </c>
      <c r="C23" s="7" t="s">
        <v>54</v>
      </c>
      <c r="D23" s="14">
        <v>12</v>
      </c>
      <c r="E23" s="14" t="s">
        <v>28</v>
      </c>
      <c r="F23" s="14">
        <v>-49725000</v>
      </c>
      <c r="G23" s="14">
        <f t="shared" ref="G23:G28" si="3">D23*F23</f>
        <v>-596700000</v>
      </c>
      <c r="H23" s="14"/>
      <c r="I23" s="14">
        <f t="shared" ref="I23:M28" si="4">$G23</f>
        <v>-596700000</v>
      </c>
      <c r="J23" s="14">
        <f t="shared" si="4"/>
        <v>-596700000</v>
      </c>
      <c r="K23" s="14">
        <f t="shared" si="4"/>
        <v>-596700000</v>
      </c>
      <c r="L23" s="14">
        <f t="shared" si="4"/>
        <v>-596700000</v>
      </c>
      <c r="M23" s="14">
        <f t="shared" si="4"/>
        <v>-596700000</v>
      </c>
    </row>
    <row r="24" spans="1:23" ht="17" customHeight="1">
      <c r="A24" t="s">
        <v>105</v>
      </c>
      <c r="C24" s="7" t="s">
        <v>55</v>
      </c>
      <c r="D24" s="14">
        <v>12</v>
      </c>
      <c r="E24" s="14" t="s">
        <v>61</v>
      </c>
      <c r="F24" s="14">
        <v>-975000000</v>
      </c>
      <c r="G24" s="14">
        <f t="shared" si="3"/>
        <v>-11700000000</v>
      </c>
      <c r="H24" s="14"/>
      <c r="I24" s="14">
        <f t="shared" si="4"/>
        <v>-11700000000</v>
      </c>
      <c r="J24" s="14">
        <f t="shared" si="4"/>
        <v>-11700000000</v>
      </c>
      <c r="K24" s="14">
        <f t="shared" si="4"/>
        <v>-11700000000</v>
      </c>
      <c r="L24" s="14">
        <f t="shared" si="4"/>
        <v>-11700000000</v>
      </c>
      <c r="M24" s="14">
        <f t="shared" si="4"/>
        <v>-11700000000</v>
      </c>
      <c r="T24" t="s">
        <v>106</v>
      </c>
      <c r="U24" t="s">
        <v>71</v>
      </c>
      <c r="V24" t="s">
        <v>104</v>
      </c>
      <c r="W24" t="s">
        <v>104</v>
      </c>
    </row>
    <row r="25" spans="1:23" ht="17" customHeight="1">
      <c r="A25" t="s">
        <v>106</v>
      </c>
      <c r="C25" s="7" t="s">
        <v>56</v>
      </c>
      <c r="D25" s="14">
        <v>12</v>
      </c>
      <c r="E25" s="14" t="s">
        <v>28</v>
      </c>
      <c r="F25" s="14">
        <v>-25000000</v>
      </c>
      <c r="G25" s="14">
        <f t="shared" si="3"/>
        <v>-300000000</v>
      </c>
      <c r="H25" s="14"/>
      <c r="I25" s="14">
        <f t="shared" si="4"/>
        <v>-300000000</v>
      </c>
      <c r="J25" s="14">
        <f t="shared" si="4"/>
        <v>-300000000</v>
      </c>
      <c r="K25" s="14">
        <f t="shared" si="4"/>
        <v>-300000000</v>
      </c>
      <c r="L25" s="14">
        <f t="shared" si="4"/>
        <v>-300000000</v>
      </c>
      <c r="M25" s="14">
        <f t="shared" si="4"/>
        <v>-300000000</v>
      </c>
      <c r="T25" t="s">
        <v>107</v>
      </c>
      <c r="U25" t="s">
        <v>74</v>
      </c>
      <c r="V25" t="s">
        <v>108</v>
      </c>
      <c r="W25" t="s">
        <v>108</v>
      </c>
    </row>
    <row r="26" spans="1:23" ht="17" customHeight="1">
      <c r="A26" t="s">
        <v>121</v>
      </c>
      <c r="C26" s="7" t="s">
        <v>59</v>
      </c>
      <c r="D26" s="14">
        <v>12</v>
      </c>
      <c r="E26" s="14" t="s">
        <v>28</v>
      </c>
      <c r="F26" s="14">
        <v>-10000000</v>
      </c>
      <c r="G26" s="14">
        <f t="shared" si="3"/>
        <v>-120000000</v>
      </c>
      <c r="H26" s="14"/>
      <c r="I26" s="14">
        <f t="shared" si="4"/>
        <v>-120000000</v>
      </c>
      <c r="J26" s="14">
        <f t="shared" si="4"/>
        <v>-120000000</v>
      </c>
      <c r="K26" s="14">
        <f t="shared" si="4"/>
        <v>-120000000</v>
      </c>
      <c r="L26" s="14">
        <f t="shared" si="4"/>
        <v>-120000000</v>
      </c>
      <c r="M26" s="14">
        <f t="shared" si="4"/>
        <v>-120000000</v>
      </c>
      <c r="T26" t="s">
        <v>109</v>
      </c>
    </row>
    <row r="27" spans="1:23" ht="17" customHeight="1">
      <c r="A27" t="s">
        <v>110</v>
      </c>
      <c r="C27" s="7" t="s">
        <v>57</v>
      </c>
      <c r="D27" s="14">
        <v>12</v>
      </c>
      <c r="E27" s="14" t="s">
        <v>28</v>
      </c>
      <c r="F27" s="14">
        <v>-12000000</v>
      </c>
      <c r="G27" s="14">
        <f t="shared" si="3"/>
        <v>-144000000</v>
      </c>
      <c r="H27" s="14"/>
      <c r="I27" s="14">
        <f t="shared" si="4"/>
        <v>-144000000</v>
      </c>
      <c r="J27" s="14">
        <f t="shared" si="4"/>
        <v>-144000000</v>
      </c>
      <c r="K27" s="14">
        <f t="shared" si="4"/>
        <v>-144000000</v>
      </c>
      <c r="L27" s="14">
        <f t="shared" si="4"/>
        <v>-144000000</v>
      </c>
      <c r="M27" s="14">
        <f t="shared" si="4"/>
        <v>-144000000</v>
      </c>
    </row>
    <row r="28" spans="1:23" ht="17" customHeight="1">
      <c r="C28" s="7" t="s">
        <v>58</v>
      </c>
      <c r="D28" s="14">
        <v>12</v>
      </c>
      <c r="E28" s="14" t="s">
        <v>28</v>
      </c>
      <c r="F28" s="14">
        <v>-3500000</v>
      </c>
      <c r="G28" s="14">
        <f t="shared" si="3"/>
        <v>-42000000</v>
      </c>
      <c r="H28" s="14"/>
      <c r="I28" s="14">
        <f t="shared" si="4"/>
        <v>-42000000</v>
      </c>
      <c r="J28" s="14">
        <f t="shared" si="4"/>
        <v>-42000000</v>
      </c>
      <c r="K28" s="14">
        <f t="shared" si="4"/>
        <v>-42000000</v>
      </c>
      <c r="L28" s="14">
        <f t="shared" si="4"/>
        <v>-42000000</v>
      </c>
      <c r="M28" s="14">
        <f t="shared" si="4"/>
        <v>-42000000</v>
      </c>
    </row>
    <row r="29" spans="1:23" ht="17" customHeight="1">
      <c r="C29" s="31" t="s">
        <v>62</v>
      </c>
      <c r="D29" s="14"/>
      <c r="E29" s="14"/>
      <c r="F29" s="14"/>
      <c r="G29" s="14">
        <f>SUM(G23:G28)</f>
        <v>-12902700000</v>
      </c>
      <c r="H29" s="14"/>
      <c r="I29" s="15">
        <f>SUM(I23:I28)</f>
        <v>-12902700000</v>
      </c>
      <c r="J29" s="15">
        <f t="shared" ref="J29:M29" si="5">SUM(J23:J28)</f>
        <v>-12902700000</v>
      </c>
      <c r="K29" s="15">
        <f t="shared" si="5"/>
        <v>-12902700000</v>
      </c>
      <c r="L29" s="15">
        <f t="shared" si="5"/>
        <v>-12902700000</v>
      </c>
      <c r="M29" s="15">
        <f t="shared" si="5"/>
        <v>-12902700000</v>
      </c>
    </row>
    <row r="30" spans="1:23" ht="17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23" ht="17" customHeight="1">
      <c r="C31" s="27" t="s">
        <v>38</v>
      </c>
      <c r="D31" s="9"/>
      <c r="E31" s="9"/>
      <c r="F31" s="9"/>
      <c r="G31" s="9"/>
      <c r="H31" s="17">
        <f>H12</f>
        <v>-1250000000</v>
      </c>
      <c r="I31" s="17">
        <f>I19+I29</f>
        <v>-9002700000</v>
      </c>
      <c r="J31" s="17">
        <f>J19+J29</f>
        <v>-9002700000</v>
      </c>
      <c r="K31" s="17">
        <f>K19+K29</f>
        <v>-9002700000</v>
      </c>
      <c r="L31" s="17">
        <f>L19+L29</f>
        <v>-9002700000</v>
      </c>
      <c r="M31" s="17">
        <f>M19+M29</f>
        <v>-9002700000</v>
      </c>
    </row>
    <row r="32" spans="1:23" ht="17" customHeight="1">
      <c r="C32" s="27"/>
      <c r="D32" s="9"/>
      <c r="E32" s="9"/>
      <c r="F32" s="9"/>
      <c r="G32" s="9"/>
      <c r="H32" s="18"/>
      <c r="I32" s="18"/>
      <c r="J32" s="18"/>
      <c r="K32" s="18"/>
      <c r="L32" s="18"/>
      <c r="M32" s="18"/>
    </row>
    <row r="33" spans="3:13" ht="17" customHeight="1">
      <c r="C33" s="27" t="s">
        <v>41</v>
      </c>
      <c r="D33" s="9">
        <v>12</v>
      </c>
      <c r="E33" s="9" t="s">
        <v>16</v>
      </c>
      <c r="F33" s="9">
        <f>D33%</f>
        <v>0.12</v>
      </c>
      <c r="G33" s="9"/>
      <c r="H33" s="19">
        <f>(1+$F$33)^0</f>
        <v>1</v>
      </c>
      <c r="I33" s="19">
        <f>(1+$F$33)^1</f>
        <v>1.1200000000000001</v>
      </c>
      <c r="J33" s="19">
        <f>(1+$F$33)^2</f>
        <v>1.2544000000000002</v>
      </c>
      <c r="K33" s="19">
        <f>(1+$F$33)^3</f>
        <v>1.4049280000000004</v>
      </c>
      <c r="L33" s="19">
        <f>(1+$F$33)^4</f>
        <v>1.5735193600000004</v>
      </c>
      <c r="M33" s="19">
        <f>(1+$F$33)^5</f>
        <v>1.7623416832000005</v>
      </c>
    </row>
    <row r="34" spans="3:13" ht="17" customHeight="1">
      <c r="C34" s="27" t="s">
        <v>39</v>
      </c>
      <c r="D34" s="9"/>
      <c r="E34" s="9"/>
      <c r="F34" s="9"/>
      <c r="G34" s="9"/>
      <c r="H34" s="17">
        <f>H31/H33</f>
        <v>-1250000000</v>
      </c>
      <c r="I34" s="17">
        <f>I31/I33</f>
        <v>-8038124999.999999</v>
      </c>
      <c r="J34" s="17">
        <f t="shared" ref="J34:M34" si="6">J31/J33</f>
        <v>-7176897321.4285707</v>
      </c>
      <c r="K34" s="17">
        <f t="shared" si="6"/>
        <v>-6407944036.9897938</v>
      </c>
      <c r="L34" s="17">
        <f>L31/L33</f>
        <v>-5721378604.4551735</v>
      </c>
      <c r="M34" s="17">
        <f t="shared" si="6"/>
        <v>-5108373753.9778337</v>
      </c>
    </row>
    <row r="35" spans="3:13" ht="17" customHeight="1">
      <c r="C35" s="27" t="s">
        <v>40</v>
      </c>
      <c r="D35" s="9"/>
      <c r="E35" s="9"/>
      <c r="F35" s="9"/>
      <c r="G35" s="9"/>
      <c r="H35" s="17">
        <f>H34</f>
        <v>-1250000000</v>
      </c>
      <c r="I35" s="17">
        <f>H35+I34</f>
        <v>-9288125000</v>
      </c>
      <c r="J35" s="17">
        <f>I35+J34</f>
        <v>-16465022321.42857</v>
      </c>
      <c r="K35" s="17">
        <f>J35+K34</f>
        <v>-22872966358.418365</v>
      </c>
      <c r="L35" s="17">
        <f>K35+L34</f>
        <v>-28594344962.873539</v>
      </c>
      <c r="M35" s="17">
        <f>L35+M34</f>
        <v>-33702718716.851372</v>
      </c>
    </row>
    <row r="36" spans="3:13" ht="17" customHeight="1">
      <c r="C36" s="28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3:13" ht="17" customHeight="1">
      <c r="C37" s="29" t="s">
        <v>17</v>
      </c>
      <c r="D37" s="15">
        <f>NPV(F33,I31:M31)+H31</f>
        <v>-33702718716.851368</v>
      </c>
      <c r="E37" s="9"/>
      <c r="F37" s="9"/>
      <c r="G37" s="9"/>
      <c r="H37" s="9"/>
      <c r="I37" s="9"/>
      <c r="J37" s="9"/>
      <c r="K37" s="9"/>
      <c r="L37" s="9"/>
      <c r="M37" s="9"/>
    </row>
    <row r="38" spans="3:13" ht="17" customHeight="1">
      <c r="C38" s="10" t="s">
        <v>18</v>
      </c>
      <c r="D38" s="16" t="e">
        <f>IRR(H31:M31)</f>
        <v>#NUM!</v>
      </c>
      <c r="E38" s="9"/>
      <c r="F38" s="9"/>
      <c r="G38" s="9"/>
      <c r="H38" s="9"/>
      <c r="I38" s="9"/>
      <c r="J38" s="9"/>
      <c r="K38" s="9"/>
      <c r="L38" s="9"/>
      <c r="M38" s="9"/>
    </row>
    <row r="39" spans="3:13" ht="17" customHeight="1">
      <c r="C39" s="10" t="s">
        <v>19</v>
      </c>
      <c r="D39" s="24">
        <f>D37/M31</f>
        <v>3.7436234370634773</v>
      </c>
      <c r="E39" s="9" t="s">
        <v>20</v>
      </c>
      <c r="F39" s="9"/>
      <c r="G39" s="9"/>
      <c r="H39" s="9"/>
      <c r="I39" s="9"/>
      <c r="J39" s="9"/>
      <c r="K39" s="9"/>
      <c r="L39" s="9"/>
      <c r="M39" s="9"/>
    </row>
  </sheetData>
  <mergeCells count="1">
    <mergeCell ref="C2:M2"/>
  </mergeCells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2B34-EE26-1B4E-BAD1-03901996099A}">
  <dimension ref="A2:AF188"/>
  <sheetViews>
    <sheetView tabSelected="1" topLeftCell="B30" zoomScale="137" zoomScaleNormal="82" workbookViewId="0">
      <selection activeCell="E48" sqref="E48"/>
    </sheetView>
  </sheetViews>
  <sheetFormatPr baseColWidth="10" defaultColWidth="10.83203125" defaultRowHeight="16"/>
  <cols>
    <col min="1" max="1" width="6.83203125" style="32" customWidth="1"/>
    <col min="2" max="2" width="90" style="32" customWidth="1"/>
    <col min="3" max="3" width="15.5" style="32" customWidth="1"/>
    <col min="4" max="4" width="13.33203125" style="32" customWidth="1"/>
    <col min="5" max="5" width="16.5" style="32" customWidth="1"/>
    <col min="6" max="6" width="15.83203125" style="32" bestFit="1" customWidth="1"/>
    <col min="7" max="7" width="15.33203125" style="32" bestFit="1" customWidth="1"/>
    <col min="8" max="12" width="15.83203125" style="32" bestFit="1" customWidth="1"/>
    <col min="13" max="18" width="10.83203125" style="32"/>
    <col min="19" max="19" width="12.83203125" style="32" bestFit="1" customWidth="1"/>
    <col min="20" max="20" width="23.33203125" style="69" customWidth="1"/>
    <col min="21" max="21" width="85.5" style="60" customWidth="1"/>
    <col min="22" max="22" width="38.83203125" style="60" customWidth="1"/>
    <col min="23" max="23" width="13.5" style="60" customWidth="1"/>
    <col min="24" max="24" width="13.5" style="60" bestFit="1" customWidth="1"/>
    <col min="25" max="25" width="14.33203125" style="71" bestFit="1" customWidth="1"/>
    <col min="26" max="26" width="13.83203125" style="71" customWidth="1"/>
    <col min="27" max="16384" width="10.83203125" style="32"/>
  </cols>
  <sheetData>
    <row r="2" spans="2:17" ht="103" customHeight="1">
      <c r="B2"/>
      <c r="C2" s="183" t="s">
        <v>278</v>
      </c>
      <c r="D2" s="183"/>
      <c r="E2" s="183"/>
      <c r="F2" s="183"/>
      <c r="G2" s="183"/>
      <c r="H2" s="183"/>
      <c r="I2" s="183"/>
      <c r="J2" s="183"/>
      <c r="K2" s="183"/>
      <c r="L2" s="183"/>
    </row>
    <row r="4" spans="2:17" ht="28" customHeight="1">
      <c r="B4" s="182" t="s">
        <v>279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2:17" ht="17" customHeight="1">
      <c r="B5" s="33" t="s">
        <v>0</v>
      </c>
      <c r="C5" s="33" t="s">
        <v>1</v>
      </c>
      <c r="D5" s="33" t="s">
        <v>2</v>
      </c>
      <c r="E5" s="33" t="s">
        <v>3</v>
      </c>
      <c r="F5" s="33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3" t="s">
        <v>10</v>
      </c>
      <c r="Q5" s="63"/>
    </row>
    <row r="6" spans="2:17" ht="17" customHeight="1">
      <c r="B6" s="33">
        <v>1</v>
      </c>
      <c r="C6" s="33">
        <v>2</v>
      </c>
      <c r="D6" s="33">
        <v>3</v>
      </c>
      <c r="E6" s="33">
        <v>4</v>
      </c>
      <c r="F6" s="33">
        <v>5</v>
      </c>
      <c r="G6" s="33">
        <v>6</v>
      </c>
      <c r="H6" s="33">
        <v>7</v>
      </c>
      <c r="I6" s="33">
        <v>8</v>
      </c>
      <c r="J6" s="33">
        <v>9</v>
      </c>
      <c r="K6" s="33">
        <v>10</v>
      </c>
      <c r="L6" s="33">
        <v>11</v>
      </c>
      <c r="Q6" s="63"/>
    </row>
    <row r="7" spans="2:17" ht="17" customHeight="1">
      <c r="B7" s="34" t="s">
        <v>42</v>
      </c>
      <c r="C7" s="35"/>
      <c r="D7" s="35"/>
      <c r="E7" s="35"/>
      <c r="F7" s="35"/>
      <c r="G7" s="35"/>
      <c r="H7" s="36"/>
      <c r="I7" s="36"/>
      <c r="J7" s="36"/>
      <c r="K7" s="36"/>
      <c r="L7" s="36"/>
      <c r="Q7" s="63"/>
    </row>
    <row r="8" spans="2:17" ht="17" customHeight="1">
      <c r="B8" s="37" t="s">
        <v>291</v>
      </c>
      <c r="C8" s="35">
        <v>1</v>
      </c>
      <c r="D8" s="35" t="s">
        <v>124</v>
      </c>
      <c r="E8" s="35">
        <v>-209200000</v>
      </c>
      <c r="F8" s="35">
        <f>C8*E8</f>
        <v>-209200000</v>
      </c>
      <c r="G8" s="35"/>
      <c r="H8" s="36"/>
      <c r="I8" s="36"/>
      <c r="J8" s="36"/>
      <c r="K8" s="36"/>
      <c r="L8" s="36"/>
      <c r="Q8" s="63"/>
    </row>
    <row r="9" spans="2:17" ht="17" customHeight="1">
      <c r="B9" s="37" t="s">
        <v>290</v>
      </c>
      <c r="C9" s="35">
        <v>1</v>
      </c>
      <c r="D9" s="35" t="s">
        <v>124</v>
      </c>
      <c r="E9" s="35">
        <v>-50000000</v>
      </c>
      <c r="F9" s="35">
        <f t="shared" ref="F9:F14" si="0">C9*E9</f>
        <v>-50000000</v>
      </c>
      <c r="G9" s="35"/>
      <c r="H9" s="36"/>
      <c r="I9" s="36"/>
      <c r="J9" s="36"/>
      <c r="K9" s="36"/>
      <c r="L9" s="36"/>
      <c r="Q9" s="63"/>
    </row>
    <row r="10" spans="2:17" ht="17" customHeight="1">
      <c r="B10" s="37" t="s">
        <v>283</v>
      </c>
      <c r="C10" s="35">
        <v>1</v>
      </c>
      <c r="D10" s="35" t="s">
        <v>124</v>
      </c>
      <c r="E10" s="35">
        <v>-10000000</v>
      </c>
      <c r="F10" s="35">
        <f t="shared" si="0"/>
        <v>-10000000</v>
      </c>
      <c r="G10" s="35"/>
      <c r="H10" s="36"/>
      <c r="I10" s="36"/>
      <c r="J10" s="36"/>
      <c r="K10" s="36"/>
      <c r="L10" s="36"/>
      <c r="Q10" s="63"/>
    </row>
    <row r="11" spans="2:17" ht="17" customHeight="1">
      <c r="B11" s="37" t="s">
        <v>280</v>
      </c>
      <c r="C11" s="35">
        <v>1</v>
      </c>
      <c r="D11" s="35" t="s">
        <v>124</v>
      </c>
      <c r="E11" s="35">
        <v>-600000</v>
      </c>
      <c r="F11" s="35">
        <f t="shared" si="0"/>
        <v>-600000</v>
      </c>
      <c r="G11" s="35"/>
      <c r="H11" s="36"/>
      <c r="I11" s="36"/>
      <c r="J11" s="36"/>
      <c r="K11" s="36"/>
      <c r="L11" s="36"/>
      <c r="Q11" s="63"/>
    </row>
    <row r="12" spans="2:17" ht="17" customHeight="1">
      <c r="B12" s="37" t="s">
        <v>282</v>
      </c>
      <c r="C12" s="35">
        <v>2</v>
      </c>
      <c r="D12" s="35" t="s">
        <v>26</v>
      </c>
      <c r="E12" s="35">
        <v>-1500000</v>
      </c>
      <c r="F12" s="35">
        <f t="shared" si="0"/>
        <v>-3000000</v>
      </c>
      <c r="G12" s="35"/>
      <c r="H12" s="36"/>
      <c r="I12" s="36"/>
      <c r="J12" s="36"/>
      <c r="K12" s="36"/>
      <c r="L12" s="36"/>
    </row>
    <row r="13" spans="2:17" ht="17" customHeight="1">
      <c r="B13" s="37" t="s">
        <v>281</v>
      </c>
      <c r="C13" s="35">
        <v>2</v>
      </c>
      <c r="D13" s="35" t="s">
        <v>26</v>
      </c>
      <c r="E13" s="35">
        <v>-120000</v>
      </c>
      <c r="F13" s="35">
        <f t="shared" si="0"/>
        <v>-240000</v>
      </c>
      <c r="G13" s="35"/>
      <c r="H13" s="36"/>
      <c r="I13" s="36"/>
      <c r="J13" s="36"/>
      <c r="K13" s="36"/>
      <c r="L13" s="36"/>
    </row>
    <row r="14" spans="2:17" ht="17" customHeight="1">
      <c r="B14" s="37" t="s">
        <v>287</v>
      </c>
      <c r="C14" s="35">
        <v>2</v>
      </c>
      <c r="D14" s="35" t="s">
        <v>125</v>
      </c>
      <c r="E14" s="35">
        <v>-1200000</v>
      </c>
      <c r="F14" s="35">
        <f t="shared" si="0"/>
        <v>-2400000</v>
      </c>
      <c r="G14" s="35"/>
      <c r="H14" s="36"/>
      <c r="I14" s="36"/>
      <c r="J14" s="36"/>
      <c r="K14" s="36"/>
      <c r="L14" s="36"/>
    </row>
    <row r="15" spans="2:17" ht="17" customHeight="1">
      <c r="B15" s="38" t="s">
        <v>49</v>
      </c>
      <c r="C15" s="35"/>
      <c r="D15" s="35"/>
      <c r="E15" s="35"/>
      <c r="F15" s="35"/>
      <c r="G15" s="39">
        <f>SUM(F8:F14)</f>
        <v>-275440000</v>
      </c>
      <c r="H15" s="36"/>
      <c r="I15" s="36"/>
      <c r="J15" s="36"/>
      <c r="K15" s="36"/>
      <c r="L15" s="36"/>
    </row>
    <row r="16" spans="2:17" ht="17" customHeight="1">
      <c r="B16" s="40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spans="1:12" ht="17" customHeight="1">
      <c r="B17" s="41" t="s">
        <v>37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ht="17" customHeight="1">
      <c r="B18" s="42" t="s">
        <v>14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ht="17" customHeight="1">
      <c r="B19" s="44" t="s">
        <v>289</v>
      </c>
      <c r="C19" s="43">
        <v>12</v>
      </c>
      <c r="D19" s="43" t="s">
        <v>28</v>
      </c>
      <c r="E19" s="43">
        <v>3200000</v>
      </c>
      <c r="F19" s="43"/>
      <c r="G19" s="43"/>
      <c r="H19" s="43">
        <f>$E19*$C19</f>
        <v>38400000</v>
      </c>
      <c r="I19" s="43">
        <f>$E19*$C19</f>
        <v>38400000</v>
      </c>
      <c r="J19" s="43">
        <f>$E19*$C19</f>
        <v>38400000</v>
      </c>
      <c r="K19" s="43">
        <f t="shared" ref="H19:L21" si="1">$E19*$C19</f>
        <v>38400000</v>
      </c>
      <c r="L19" s="43">
        <f t="shared" si="1"/>
        <v>38400000</v>
      </c>
    </row>
    <row r="20" spans="1:12" ht="17" customHeight="1">
      <c r="B20" s="44" t="s">
        <v>293</v>
      </c>
      <c r="C20" s="43">
        <v>12</v>
      </c>
      <c r="D20" s="43" t="s">
        <v>28</v>
      </c>
      <c r="E20" s="43">
        <v>12000000</v>
      </c>
      <c r="F20" s="43"/>
      <c r="G20" s="43"/>
      <c r="H20" s="43">
        <f>$E20*$C20</f>
        <v>144000000</v>
      </c>
      <c r="I20" s="43">
        <f>$E20*$C20</f>
        <v>144000000</v>
      </c>
      <c r="J20" s="43">
        <f t="shared" si="1"/>
        <v>144000000</v>
      </c>
      <c r="K20" s="43">
        <f t="shared" si="1"/>
        <v>144000000</v>
      </c>
      <c r="L20" s="43">
        <f t="shared" si="1"/>
        <v>144000000</v>
      </c>
    </row>
    <row r="21" spans="1:12" ht="17" customHeight="1">
      <c r="B21" s="44" t="s">
        <v>292</v>
      </c>
      <c r="C21" s="43">
        <v>12</v>
      </c>
      <c r="D21" s="43" t="s">
        <v>28</v>
      </c>
      <c r="E21" s="43">
        <v>7500000</v>
      </c>
      <c r="F21" s="43"/>
      <c r="G21" s="43"/>
      <c r="H21" s="43">
        <f>$E21*$C21</f>
        <v>90000000</v>
      </c>
      <c r="I21" s="43">
        <f>$E21*$C21</f>
        <v>90000000</v>
      </c>
      <c r="J21" s="43">
        <f t="shared" si="1"/>
        <v>90000000</v>
      </c>
      <c r="K21" s="43">
        <f t="shared" si="1"/>
        <v>90000000</v>
      </c>
      <c r="L21" s="43">
        <f t="shared" si="1"/>
        <v>90000000</v>
      </c>
    </row>
    <row r="22" spans="1:12" ht="17" customHeight="1">
      <c r="B22" s="44" t="s">
        <v>284</v>
      </c>
      <c r="C22" s="43">
        <v>12</v>
      </c>
      <c r="D22" s="43" t="s">
        <v>28</v>
      </c>
      <c r="E22" s="43">
        <v>80000</v>
      </c>
      <c r="F22" s="43"/>
      <c r="G22" s="43"/>
      <c r="H22" s="43">
        <f>$E22*$C22</f>
        <v>960000</v>
      </c>
      <c r="I22" s="43">
        <f t="shared" ref="I22:K22" si="2">$E22*$C22</f>
        <v>960000</v>
      </c>
      <c r="J22" s="43">
        <f t="shared" si="2"/>
        <v>960000</v>
      </c>
      <c r="K22" s="43">
        <f t="shared" si="2"/>
        <v>960000</v>
      </c>
      <c r="L22" s="43">
        <f>$E22*$C22</f>
        <v>960000</v>
      </c>
    </row>
    <row r="23" spans="1:12" ht="17" customHeight="1">
      <c r="B23" s="45" t="s">
        <v>53</v>
      </c>
      <c r="C23" s="43"/>
      <c r="D23" s="43"/>
      <c r="E23" s="46">
        <f>SUM(E19:E22)</f>
        <v>22780000</v>
      </c>
      <c r="F23" s="43"/>
      <c r="G23" s="43"/>
      <c r="H23" s="46">
        <f>SUM(H19:H22)</f>
        <v>273360000</v>
      </c>
      <c r="I23" s="46">
        <f t="shared" ref="I23:L23" si="3">SUM(I19:I22)</f>
        <v>273360000</v>
      </c>
      <c r="J23" s="46">
        <f t="shared" si="3"/>
        <v>273360000</v>
      </c>
      <c r="K23" s="46">
        <f t="shared" si="3"/>
        <v>273360000</v>
      </c>
      <c r="L23" s="46">
        <f t="shared" si="3"/>
        <v>273360000</v>
      </c>
    </row>
    <row r="24" spans="1:12" ht="17" customHeight="1">
      <c r="B24" s="40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2" ht="17" customHeight="1">
      <c r="B25" s="40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2" ht="17" customHeight="1">
      <c r="B26" s="47" t="s">
        <v>15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7" customHeight="1">
      <c r="B27" s="49" t="s">
        <v>296</v>
      </c>
      <c r="C27" s="48">
        <v>12</v>
      </c>
      <c r="D27" s="48" t="s">
        <v>28</v>
      </c>
      <c r="E27" s="48">
        <f>-E23*4%</f>
        <v>-911200</v>
      </c>
      <c r="F27" s="48"/>
      <c r="G27" s="48"/>
      <c r="H27" s="48">
        <f>$E27*$C27</f>
        <v>-10934400</v>
      </c>
      <c r="I27" s="48">
        <f t="shared" ref="I27:L28" si="4">$E27*$C27</f>
        <v>-10934400</v>
      </c>
      <c r="J27" s="48">
        <f t="shared" si="4"/>
        <v>-10934400</v>
      </c>
      <c r="K27" s="48">
        <f t="shared" si="4"/>
        <v>-10934400</v>
      </c>
      <c r="L27" s="48">
        <f t="shared" si="4"/>
        <v>-10934400</v>
      </c>
    </row>
    <row r="28" spans="1:12" ht="17" customHeight="1">
      <c r="A28" s="65" t="s">
        <v>294</v>
      </c>
      <c r="B28" s="49" t="s">
        <v>295</v>
      </c>
      <c r="C28" s="48">
        <v>12</v>
      </c>
      <c r="D28" s="48" t="s">
        <v>28</v>
      </c>
      <c r="E28" s="48">
        <v>-3750000</v>
      </c>
      <c r="F28" s="48"/>
      <c r="G28" s="48"/>
      <c r="H28" s="48">
        <f>$E28*$C28</f>
        <v>-45000000</v>
      </c>
      <c r="I28" s="48">
        <f t="shared" si="4"/>
        <v>-45000000</v>
      </c>
      <c r="J28" s="48">
        <f t="shared" si="4"/>
        <v>-45000000</v>
      </c>
      <c r="K28" s="48">
        <f t="shared" si="4"/>
        <v>-45000000</v>
      </c>
      <c r="L28" s="48">
        <f t="shared" si="4"/>
        <v>-45000000</v>
      </c>
    </row>
    <row r="29" spans="1:12" ht="17" customHeight="1">
      <c r="B29" s="49" t="s">
        <v>140</v>
      </c>
      <c r="C29" s="48">
        <v>12</v>
      </c>
      <c r="D29" s="48" t="s">
        <v>28</v>
      </c>
      <c r="E29" s="48">
        <v>-9050958</v>
      </c>
      <c r="F29" s="48"/>
      <c r="G29" s="48"/>
      <c r="H29" s="48">
        <f t="shared" ref="H29:L34" si="5">$E29*$C29</f>
        <v>-108611496</v>
      </c>
      <c r="I29" s="48">
        <f t="shared" si="5"/>
        <v>-108611496</v>
      </c>
      <c r="J29" s="48">
        <f t="shared" si="5"/>
        <v>-108611496</v>
      </c>
      <c r="K29" s="48">
        <f t="shared" si="5"/>
        <v>-108611496</v>
      </c>
      <c r="L29" s="48">
        <f t="shared" si="5"/>
        <v>-108611496</v>
      </c>
    </row>
    <row r="30" spans="1:12" ht="17" customHeight="1">
      <c r="B30" s="49" t="s">
        <v>141</v>
      </c>
      <c r="C30" s="48">
        <v>12</v>
      </c>
      <c r="D30" s="48" t="s">
        <v>28</v>
      </c>
      <c r="E30" s="48">
        <v>-300000</v>
      </c>
      <c r="F30" s="48"/>
      <c r="G30" s="48"/>
      <c r="H30" s="48">
        <f t="shared" si="5"/>
        <v>-3600000</v>
      </c>
      <c r="I30" s="48">
        <f t="shared" si="5"/>
        <v>-3600000</v>
      </c>
      <c r="J30" s="48">
        <f t="shared" si="5"/>
        <v>-3600000</v>
      </c>
      <c r="K30" s="48">
        <f t="shared" si="5"/>
        <v>-3600000</v>
      </c>
      <c r="L30" s="48">
        <f t="shared" si="5"/>
        <v>-3600000</v>
      </c>
    </row>
    <row r="31" spans="1:12" ht="17" customHeight="1">
      <c r="B31" s="49" t="s">
        <v>142</v>
      </c>
      <c r="C31" s="48">
        <v>12</v>
      </c>
      <c r="D31" s="48" t="s">
        <v>28</v>
      </c>
      <c r="E31" s="48">
        <v>-100000</v>
      </c>
      <c r="F31" s="48"/>
      <c r="G31" s="48"/>
      <c r="H31" s="48">
        <f t="shared" si="5"/>
        <v>-1200000</v>
      </c>
      <c r="I31" s="48">
        <f t="shared" si="5"/>
        <v>-1200000</v>
      </c>
      <c r="J31" s="48">
        <f t="shared" si="5"/>
        <v>-1200000</v>
      </c>
      <c r="K31" s="48">
        <f t="shared" si="5"/>
        <v>-1200000</v>
      </c>
      <c r="L31" s="48">
        <f t="shared" si="5"/>
        <v>-1200000</v>
      </c>
    </row>
    <row r="32" spans="1:12" ht="17" customHeight="1">
      <c r="B32" s="49" t="s">
        <v>285</v>
      </c>
      <c r="C32" s="48">
        <v>12</v>
      </c>
      <c r="D32" s="48" t="s">
        <v>28</v>
      </c>
      <c r="E32" s="48">
        <v>-150000</v>
      </c>
      <c r="F32" s="48"/>
      <c r="G32" s="48"/>
      <c r="H32" s="48">
        <f t="shared" si="5"/>
        <v>-1800000</v>
      </c>
      <c r="I32" s="48">
        <f t="shared" si="5"/>
        <v>-1800000</v>
      </c>
      <c r="J32" s="48">
        <f t="shared" si="5"/>
        <v>-1800000</v>
      </c>
      <c r="K32" s="48">
        <f t="shared" si="5"/>
        <v>-1800000</v>
      </c>
      <c r="L32" s="48">
        <f t="shared" si="5"/>
        <v>-1800000</v>
      </c>
    </row>
    <row r="33" spans="2:12" ht="17" customHeight="1">
      <c r="B33" s="49" t="s">
        <v>143</v>
      </c>
      <c r="C33" s="48">
        <v>12</v>
      </c>
      <c r="D33" s="48" t="s">
        <v>28</v>
      </c>
      <c r="E33" s="48">
        <v>-600000</v>
      </c>
      <c r="F33" s="48"/>
      <c r="G33" s="48"/>
      <c r="H33" s="48">
        <f t="shared" si="5"/>
        <v>-7200000</v>
      </c>
      <c r="I33" s="48">
        <f t="shared" si="5"/>
        <v>-7200000</v>
      </c>
      <c r="J33" s="48">
        <f t="shared" si="5"/>
        <v>-7200000</v>
      </c>
      <c r="K33" s="48">
        <f t="shared" si="5"/>
        <v>-7200000</v>
      </c>
      <c r="L33" s="48">
        <f t="shared" si="5"/>
        <v>-7200000</v>
      </c>
    </row>
    <row r="34" spans="2:12" ht="17" customHeight="1">
      <c r="B34" s="49" t="s">
        <v>286</v>
      </c>
      <c r="C34" s="48">
        <v>12</v>
      </c>
      <c r="D34" s="48" t="s">
        <v>28</v>
      </c>
      <c r="E34" s="48">
        <v>-50000</v>
      </c>
      <c r="F34" s="48"/>
      <c r="G34" s="48"/>
      <c r="H34" s="48">
        <f t="shared" si="5"/>
        <v>-600000</v>
      </c>
      <c r="I34" s="48">
        <f t="shared" si="5"/>
        <v>-600000</v>
      </c>
      <c r="J34" s="48">
        <f t="shared" si="5"/>
        <v>-600000</v>
      </c>
      <c r="K34" s="48">
        <f t="shared" si="5"/>
        <v>-600000</v>
      </c>
      <c r="L34" s="48">
        <f t="shared" si="5"/>
        <v>-600000</v>
      </c>
    </row>
    <row r="35" spans="2:12" ht="17" customHeight="1">
      <c r="B35" s="50" t="s">
        <v>62</v>
      </c>
      <c r="C35" s="48"/>
      <c r="D35" s="48"/>
      <c r="E35" s="51">
        <f>SUM(E27:E34)</f>
        <v>-14912158</v>
      </c>
      <c r="F35" s="48"/>
      <c r="G35" s="48"/>
      <c r="H35" s="51">
        <f>SUM(H27:H34)</f>
        <v>-178945896</v>
      </c>
      <c r="I35" s="51">
        <f t="shared" ref="I35:L35" si="6">SUM(I27:I34)</f>
        <v>-178945896</v>
      </c>
      <c r="J35" s="51">
        <f t="shared" si="6"/>
        <v>-178945896</v>
      </c>
      <c r="K35" s="51">
        <f t="shared" si="6"/>
        <v>-178945896</v>
      </c>
      <c r="L35" s="51">
        <f t="shared" si="6"/>
        <v>-178945896</v>
      </c>
    </row>
    <row r="36" spans="2:12" ht="17" customHeigh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2:12" ht="17" customHeight="1">
      <c r="B37" s="52" t="s">
        <v>38</v>
      </c>
      <c r="C37" s="53"/>
      <c r="D37" s="53"/>
      <c r="E37" s="53"/>
      <c r="F37" s="53"/>
      <c r="G37" s="54">
        <f>G15</f>
        <v>-275440000</v>
      </c>
      <c r="H37" s="54">
        <f>H23+H35</f>
        <v>94414104</v>
      </c>
      <c r="I37" s="54">
        <f>I23+I35</f>
        <v>94414104</v>
      </c>
      <c r="J37" s="54">
        <f>J23+J35</f>
        <v>94414104</v>
      </c>
      <c r="K37" s="54">
        <f>K23+K35</f>
        <v>94414104</v>
      </c>
      <c r="L37" s="54">
        <f>L23+L35</f>
        <v>94414104</v>
      </c>
    </row>
    <row r="38" spans="2:12" ht="17" customHeight="1">
      <c r="B38" s="52"/>
      <c r="C38" s="53"/>
      <c r="D38" s="53"/>
      <c r="E38" s="53"/>
      <c r="F38" s="53"/>
      <c r="G38" s="55"/>
      <c r="H38" s="55"/>
      <c r="I38" s="55"/>
      <c r="J38" s="55"/>
      <c r="K38" s="55"/>
      <c r="L38" s="55"/>
    </row>
    <row r="39" spans="2:12" ht="17" customHeight="1">
      <c r="B39" s="52" t="s">
        <v>66</v>
      </c>
      <c r="C39" s="53">
        <v>20</v>
      </c>
      <c r="D39" s="53" t="s">
        <v>16</v>
      </c>
      <c r="E39" s="53">
        <f>C39%</f>
        <v>0.2</v>
      </c>
      <c r="F39" s="53"/>
      <c r="G39" s="56">
        <f>(1+$E$39)^0</f>
        <v>1</v>
      </c>
      <c r="H39" s="56">
        <f>(1+$E$39)^1</f>
        <v>1.2</v>
      </c>
      <c r="I39" s="56">
        <f>(1+$E$39)^2</f>
        <v>1.44</v>
      </c>
      <c r="J39" s="56">
        <f>(1+$E$39)^3</f>
        <v>1.728</v>
      </c>
      <c r="K39" s="56">
        <f>(1+$E$39)^4</f>
        <v>2.0735999999999999</v>
      </c>
      <c r="L39" s="56">
        <f>(1+$E$39)^5</f>
        <v>2.4883199999999999</v>
      </c>
    </row>
    <row r="40" spans="2:12" ht="17" customHeight="1">
      <c r="B40" s="52" t="s">
        <v>39</v>
      </c>
      <c r="C40" s="53"/>
      <c r="D40" s="53"/>
      <c r="E40" s="53"/>
      <c r="F40" s="53"/>
      <c r="G40" s="54">
        <f>G37/G39</f>
        <v>-275440000</v>
      </c>
      <c r="H40" s="54">
        <f>H37/H39</f>
        <v>78678420</v>
      </c>
      <c r="I40" s="54">
        <f t="shared" ref="I40:L40" si="7">I37/I39</f>
        <v>65565350</v>
      </c>
      <c r="J40" s="54">
        <f t="shared" si="7"/>
        <v>54637791.666666664</v>
      </c>
      <c r="K40" s="54">
        <f>K37/K39</f>
        <v>45531493.05555556</v>
      </c>
      <c r="L40" s="54">
        <f t="shared" si="7"/>
        <v>37942910.879629634</v>
      </c>
    </row>
    <row r="41" spans="2:12" ht="17" customHeight="1">
      <c r="B41" s="52" t="s">
        <v>40</v>
      </c>
      <c r="C41" s="53"/>
      <c r="D41" s="53"/>
      <c r="E41" s="53"/>
      <c r="F41" s="53"/>
      <c r="G41" s="54">
        <f>G40</f>
        <v>-275440000</v>
      </c>
      <c r="H41" s="54">
        <f>G41+H40</f>
        <v>-196761580</v>
      </c>
      <c r="I41" s="54">
        <f>H41+I40</f>
        <v>-131196230</v>
      </c>
      <c r="J41" s="54">
        <f>I41+J40</f>
        <v>-76558438.333333343</v>
      </c>
      <c r="K41" s="54">
        <f>J41+K40</f>
        <v>-31026945.277777784</v>
      </c>
      <c r="L41" s="54">
        <f>K41+L40</f>
        <v>6915965.6018518507</v>
      </c>
    </row>
    <row r="42" spans="2:12" ht="17" customHeight="1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2:12" ht="17" customHeight="1">
      <c r="B43" s="57" t="s">
        <v>17</v>
      </c>
      <c r="C43" s="51">
        <f>NPV(E39,H37:L37)+G37</f>
        <v>6915965.6018518806</v>
      </c>
      <c r="D43" s="53"/>
      <c r="E43" s="53"/>
      <c r="F43" s="53"/>
      <c r="G43" s="53"/>
      <c r="H43" s="53"/>
      <c r="I43" s="53"/>
      <c r="J43" s="53"/>
      <c r="K43" s="53"/>
      <c r="L43" s="53"/>
    </row>
    <row r="44" spans="2:12" ht="17" customHeight="1">
      <c r="B44" s="57" t="s">
        <v>18</v>
      </c>
      <c r="C44" s="58">
        <f>IRR(G37:L37)</f>
        <v>0.21136205861390756</v>
      </c>
      <c r="D44" s="53"/>
      <c r="E44" s="53"/>
      <c r="F44" s="53"/>
      <c r="G44" s="53"/>
      <c r="H44" s="53"/>
      <c r="I44" s="53"/>
      <c r="J44" s="53"/>
      <c r="K44" s="53"/>
      <c r="L44" s="53"/>
    </row>
    <row r="45" spans="2:12" ht="17" customHeight="1">
      <c r="B45" s="57" t="s">
        <v>19</v>
      </c>
      <c r="C45" s="155">
        <v>5</v>
      </c>
      <c r="D45" s="53" t="s">
        <v>20</v>
      </c>
      <c r="E45" s="53"/>
      <c r="F45" s="53"/>
      <c r="G45" s="53"/>
      <c r="H45" s="53"/>
      <c r="I45" s="53"/>
      <c r="J45" s="53"/>
      <c r="K45" s="53"/>
      <c r="L45" s="53"/>
    </row>
    <row r="50" spans="2:8">
      <c r="B50" s="61" t="s">
        <v>318</v>
      </c>
    </row>
    <row r="51" spans="2:8">
      <c r="B51" s="171" t="s">
        <v>294</v>
      </c>
      <c r="C51" s="32" t="s">
        <v>325</v>
      </c>
    </row>
    <row r="56" spans="2:8">
      <c r="B56" s="69"/>
      <c r="G56" s="72"/>
      <c r="H56" s="72"/>
    </row>
    <row r="57" spans="2:8">
      <c r="G57" s="72"/>
      <c r="H57" s="72"/>
    </row>
    <row r="69" spans="18:32">
      <c r="R69" s="63"/>
      <c r="S69" s="63"/>
      <c r="T69" s="70"/>
      <c r="U69" s="71"/>
      <c r="V69" s="71"/>
    </row>
    <row r="70" spans="18:32">
      <c r="R70" s="63"/>
      <c r="S70" s="63"/>
      <c r="T70" s="70"/>
      <c r="U70" s="71"/>
      <c r="V70" s="71"/>
      <c r="W70" s="71"/>
      <c r="X70" s="71"/>
      <c r="AA70" s="63"/>
      <c r="AB70" s="63"/>
      <c r="AC70" s="63"/>
    </row>
    <row r="71" spans="18:32">
      <c r="V71" s="71"/>
      <c r="W71" s="71"/>
      <c r="X71" s="71"/>
      <c r="AA71" s="63"/>
      <c r="AB71" s="63"/>
      <c r="AC71" s="63"/>
    </row>
    <row r="72" spans="18:32">
      <c r="V72" s="71"/>
      <c r="W72" s="71"/>
      <c r="X72" s="71"/>
      <c r="AA72" s="63"/>
      <c r="AB72" s="63"/>
      <c r="AC72" s="63"/>
    </row>
    <row r="73" spans="18:32">
      <c r="V73" s="71"/>
      <c r="W73" s="71"/>
      <c r="X73" s="71"/>
      <c r="AA73" s="63"/>
      <c r="AB73" s="63"/>
      <c r="AC73" s="63"/>
    </row>
    <row r="74" spans="18:32">
      <c r="V74" s="71"/>
      <c r="W74" s="71"/>
      <c r="X74" s="71"/>
      <c r="AA74" s="63"/>
      <c r="AB74" s="63"/>
      <c r="AC74" s="63"/>
    </row>
    <row r="75" spans="18:32">
      <c r="V75" s="71"/>
      <c r="W75" s="71"/>
      <c r="X75" s="71"/>
      <c r="AA75" s="63"/>
      <c r="AB75" s="63"/>
      <c r="AC75" s="63"/>
    </row>
    <row r="76" spans="18:32">
      <c r="R76" s="63"/>
      <c r="S76" s="63"/>
      <c r="T76" s="70"/>
      <c r="U76" s="71"/>
      <c r="V76" s="71"/>
      <c r="W76" s="71"/>
      <c r="X76" s="71"/>
      <c r="AA76" s="63"/>
      <c r="AB76" s="63"/>
      <c r="AC76" s="63"/>
    </row>
    <row r="77" spans="18:32">
      <c r="R77" s="63"/>
      <c r="S77" s="63"/>
      <c r="T77" s="70"/>
      <c r="U77" s="71"/>
      <c r="V77" s="71"/>
      <c r="W77" s="71"/>
      <c r="X77" s="71"/>
      <c r="AA77" s="63"/>
      <c r="AB77" s="63"/>
      <c r="AC77" s="63"/>
    </row>
    <row r="78" spans="18:32">
      <c r="R78" s="63"/>
      <c r="S78" s="67"/>
      <c r="T78" s="73"/>
      <c r="U78" s="72"/>
      <c r="V78" s="72"/>
      <c r="W78" s="72"/>
      <c r="X78" s="72"/>
      <c r="Y78" s="72"/>
      <c r="Z78" s="72"/>
      <c r="AA78" s="67"/>
      <c r="AB78" s="63"/>
      <c r="AC78" s="63"/>
      <c r="AF78" s="32" t="s">
        <v>134</v>
      </c>
    </row>
    <row r="79" spans="18:32">
      <c r="R79" s="63"/>
      <c r="S79" s="67"/>
      <c r="T79" s="73"/>
      <c r="U79" s="72"/>
      <c r="V79" s="72"/>
      <c r="W79" s="72"/>
      <c r="X79" s="72"/>
      <c r="Y79" s="72"/>
      <c r="Z79" s="72"/>
      <c r="AA79" s="67"/>
      <c r="AB79" s="63"/>
      <c r="AC79" s="63"/>
    </row>
    <row r="80" spans="18:32">
      <c r="R80" s="63"/>
      <c r="S80" s="67"/>
      <c r="T80" s="73"/>
      <c r="U80" s="72"/>
      <c r="V80" s="72"/>
      <c r="W80" s="72"/>
      <c r="X80" s="72"/>
      <c r="Y80" s="72"/>
      <c r="Z80" s="72"/>
      <c r="AA80" s="67"/>
      <c r="AB80" s="63"/>
      <c r="AC80" s="63"/>
    </row>
    <row r="81" spans="18:29">
      <c r="R81" s="63"/>
      <c r="S81" s="67"/>
      <c r="T81" s="73"/>
      <c r="U81" s="72"/>
      <c r="V81" s="72"/>
      <c r="W81" s="72"/>
      <c r="X81" s="72"/>
      <c r="Y81" s="72"/>
      <c r="Z81" s="72"/>
      <c r="AA81" s="67"/>
      <c r="AB81" s="63"/>
      <c r="AC81" s="63"/>
    </row>
    <row r="82" spans="18:29">
      <c r="R82" s="63"/>
      <c r="S82" s="67"/>
      <c r="T82" s="73"/>
      <c r="U82" s="72"/>
      <c r="V82" s="72"/>
      <c r="W82" s="72"/>
      <c r="X82" s="72"/>
      <c r="Y82" s="72"/>
      <c r="Z82" s="72"/>
      <c r="AA82" s="67"/>
      <c r="AB82" s="63"/>
      <c r="AC82" s="63"/>
    </row>
    <row r="83" spans="18:29">
      <c r="R83" s="63"/>
      <c r="S83" s="67"/>
      <c r="T83" s="73"/>
      <c r="U83" s="72"/>
      <c r="V83" s="72"/>
      <c r="W83" s="72"/>
      <c r="X83" s="72"/>
      <c r="Y83" s="72"/>
      <c r="Z83" s="72"/>
      <c r="AA83" s="67"/>
      <c r="AB83" s="63"/>
      <c r="AC83" s="63"/>
    </row>
    <row r="84" spans="18:29">
      <c r="R84" s="63"/>
      <c r="S84" s="67"/>
      <c r="T84" s="73"/>
      <c r="U84" s="72"/>
      <c r="V84" s="72"/>
      <c r="W84" s="72"/>
      <c r="X84" s="72"/>
      <c r="Y84" s="72"/>
      <c r="Z84" s="72"/>
      <c r="AA84" s="67"/>
      <c r="AB84" s="63"/>
      <c r="AC84" s="63"/>
    </row>
    <row r="85" spans="18:29">
      <c r="R85" s="63"/>
      <c r="S85" s="67"/>
      <c r="T85" s="73"/>
      <c r="U85" s="72"/>
      <c r="V85" s="72"/>
      <c r="W85" s="72"/>
      <c r="X85" s="72"/>
      <c r="Y85" s="72"/>
      <c r="Z85" s="72"/>
      <c r="AA85" s="67"/>
      <c r="AB85" s="63"/>
      <c r="AC85" s="63"/>
    </row>
    <row r="86" spans="18:29">
      <c r="R86" s="63"/>
      <c r="S86" s="67"/>
      <c r="T86" s="73"/>
      <c r="U86" s="72"/>
      <c r="V86" s="72"/>
      <c r="W86" s="72"/>
      <c r="X86" s="72"/>
      <c r="Y86" s="72"/>
      <c r="Z86" s="72"/>
      <c r="AA86" s="67"/>
      <c r="AB86" s="63"/>
      <c r="AC86" s="63"/>
    </row>
    <row r="87" spans="18:29">
      <c r="R87" s="63"/>
      <c r="S87" s="67"/>
      <c r="T87" s="73"/>
      <c r="U87" s="72"/>
      <c r="V87" s="72"/>
      <c r="W87" s="72"/>
      <c r="X87" s="72"/>
      <c r="Y87" s="72"/>
      <c r="Z87" s="72"/>
      <c r="AA87" s="67"/>
      <c r="AB87" s="63"/>
      <c r="AC87" s="63"/>
    </row>
    <row r="88" spans="18:29">
      <c r="R88" s="63"/>
      <c r="S88" s="67"/>
      <c r="T88" s="73"/>
      <c r="U88" s="72"/>
      <c r="V88" s="72"/>
      <c r="W88" s="72"/>
      <c r="X88" s="72"/>
      <c r="Y88" s="72"/>
      <c r="Z88" s="72"/>
      <c r="AA88" s="67"/>
      <c r="AB88" s="63"/>
      <c r="AC88" s="63"/>
    </row>
    <row r="89" spans="18:29">
      <c r="R89" s="63"/>
      <c r="S89" s="67"/>
      <c r="T89" s="73"/>
      <c r="U89" s="72"/>
      <c r="V89" s="72"/>
      <c r="W89" s="72"/>
      <c r="X89" s="72"/>
      <c r="Y89" s="72"/>
      <c r="Z89" s="72"/>
      <c r="AA89" s="67"/>
      <c r="AB89" s="63"/>
      <c r="AC89" s="63"/>
    </row>
    <row r="90" spans="18:29">
      <c r="R90" s="63"/>
      <c r="S90" s="67"/>
      <c r="T90" s="73"/>
      <c r="U90" s="72"/>
      <c r="V90" s="72"/>
      <c r="W90" s="72"/>
      <c r="X90" s="72"/>
      <c r="Y90" s="72"/>
      <c r="Z90" s="72"/>
      <c r="AA90" s="67"/>
      <c r="AB90" s="63"/>
      <c r="AC90" s="63"/>
    </row>
    <row r="91" spans="18:29">
      <c r="R91" s="63"/>
      <c r="S91" s="67"/>
      <c r="T91" s="73"/>
      <c r="U91" s="72"/>
      <c r="V91" s="72"/>
      <c r="W91" s="72"/>
      <c r="X91" s="72"/>
      <c r="Y91" s="72"/>
      <c r="Z91" s="72"/>
      <c r="AA91" s="67"/>
      <c r="AB91" s="63"/>
      <c r="AC91" s="63"/>
    </row>
    <row r="92" spans="18:29">
      <c r="R92" s="63"/>
      <c r="S92" s="67"/>
      <c r="U92" s="72"/>
      <c r="V92" s="72"/>
      <c r="W92" s="72"/>
      <c r="X92" s="72"/>
      <c r="Y92" s="72"/>
      <c r="Z92" s="72"/>
      <c r="AA92" s="67"/>
      <c r="AB92" s="63"/>
      <c r="AC92" s="63"/>
    </row>
    <row r="93" spans="18:29">
      <c r="R93" s="63"/>
      <c r="S93" s="67"/>
      <c r="AA93" s="67"/>
      <c r="AB93" s="63"/>
      <c r="AC93" s="63"/>
    </row>
    <row r="94" spans="18:29">
      <c r="R94" s="63"/>
      <c r="S94" s="67"/>
      <c r="AA94" s="67"/>
      <c r="AB94" s="63"/>
      <c r="AC94" s="63"/>
    </row>
    <row r="95" spans="18:29">
      <c r="R95" s="63"/>
      <c r="S95" s="67"/>
      <c r="AA95" s="67"/>
      <c r="AB95" s="63"/>
      <c r="AC95" s="63"/>
    </row>
    <row r="96" spans="18:29">
      <c r="R96" s="63"/>
      <c r="S96" s="67"/>
      <c r="AA96" s="67"/>
      <c r="AB96" s="63"/>
      <c r="AC96" s="63"/>
    </row>
    <row r="97" spans="18:29">
      <c r="R97" s="63"/>
      <c r="S97" s="67"/>
      <c r="AA97" s="67"/>
      <c r="AB97" s="63"/>
      <c r="AC97" s="63"/>
    </row>
    <row r="98" spans="18:29">
      <c r="R98" s="63"/>
      <c r="S98" s="67"/>
      <c r="AA98" s="67"/>
      <c r="AB98" s="63"/>
      <c r="AC98" s="63"/>
    </row>
    <row r="99" spans="18:29">
      <c r="R99" s="63"/>
      <c r="S99" s="67"/>
      <c r="AA99" s="67"/>
      <c r="AB99" s="63"/>
      <c r="AC99" s="63"/>
    </row>
    <row r="100" spans="18:29">
      <c r="R100" s="63"/>
      <c r="S100" s="67"/>
      <c r="AA100" s="67"/>
      <c r="AB100" s="63"/>
      <c r="AC100" s="63"/>
    </row>
    <row r="101" spans="18:29">
      <c r="R101" s="63"/>
      <c r="S101" s="67"/>
      <c r="AA101" s="67"/>
      <c r="AB101" s="63"/>
      <c r="AC101" s="63"/>
    </row>
    <row r="102" spans="18:29">
      <c r="R102" s="63"/>
      <c r="S102" s="67"/>
      <c r="AA102" s="67"/>
      <c r="AB102" s="63"/>
      <c r="AC102" s="63"/>
    </row>
    <row r="103" spans="18:29">
      <c r="R103" s="63"/>
      <c r="S103" s="63"/>
      <c r="AA103" s="63"/>
      <c r="AB103" s="63"/>
      <c r="AC103" s="63"/>
    </row>
    <row r="104" spans="18:29">
      <c r="R104" s="63"/>
      <c r="S104" s="63"/>
      <c r="AA104" s="63"/>
      <c r="AB104" s="63"/>
      <c r="AC104" s="63"/>
    </row>
    <row r="114" spans="30:30">
      <c r="AD114" s="66"/>
    </row>
    <row r="136" spans="2:8" ht="16" customHeight="1"/>
    <row r="137" spans="2:8" ht="16" customHeight="1"/>
    <row r="138" spans="2:8" ht="16" customHeight="1"/>
    <row r="139" spans="2:8" ht="16" customHeight="1"/>
    <row r="141" spans="2:8">
      <c r="B141" s="75" t="s">
        <v>209</v>
      </c>
      <c r="G141" s="72"/>
      <c r="H141" s="72"/>
    </row>
    <row r="142" spans="2:8">
      <c r="B142" s="73"/>
      <c r="G142" s="72"/>
      <c r="H142" s="72"/>
    </row>
    <row r="143" spans="2:8">
      <c r="B143" s="63"/>
      <c r="C143" s="64">
        <v>77500000</v>
      </c>
      <c r="D143" s="70"/>
      <c r="E143" s="71"/>
      <c r="G143" s="72"/>
      <c r="H143" s="72"/>
    </row>
    <row r="144" spans="2:8" ht="17">
      <c r="B144" s="63"/>
      <c r="C144" s="63" t="s">
        <v>211</v>
      </c>
      <c r="D144" s="70" t="s">
        <v>217</v>
      </c>
      <c r="E144" s="71" t="s">
        <v>218</v>
      </c>
      <c r="F144" s="72"/>
      <c r="G144" s="72"/>
      <c r="H144" s="72"/>
    </row>
    <row r="145" spans="2:8">
      <c r="B145" s="63" t="s">
        <v>129</v>
      </c>
      <c r="C145" s="63">
        <v>3</v>
      </c>
      <c r="D145" s="70">
        <v>14500000</v>
      </c>
      <c r="E145" s="71">
        <f>C145*D145</f>
        <v>43500000</v>
      </c>
      <c r="F145" s="116">
        <f>E147-C143</f>
        <v>0</v>
      </c>
      <c r="G145" s="72"/>
      <c r="H145" s="72"/>
    </row>
    <row r="146" spans="2:8">
      <c r="B146" s="63" t="s">
        <v>210</v>
      </c>
      <c r="C146" s="63">
        <v>1</v>
      </c>
      <c r="D146" s="70">
        <v>34000000</v>
      </c>
      <c r="E146" s="71">
        <f>C146*D146</f>
        <v>34000000</v>
      </c>
      <c r="F146" s="72"/>
      <c r="G146" s="72"/>
      <c r="H146" s="72"/>
    </row>
    <row r="147" spans="2:8">
      <c r="B147" s="63"/>
      <c r="C147" s="63"/>
      <c r="D147" s="70"/>
      <c r="E147" s="116">
        <f>SUM(E145:E146)</f>
        <v>77500000</v>
      </c>
      <c r="F147" s="72"/>
      <c r="G147" s="72"/>
      <c r="H147" s="72"/>
    </row>
    <row r="148" spans="2:8">
      <c r="B148" s="73"/>
      <c r="C148" s="72"/>
      <c r="D148" s="72"/>
      <c r="E148" s="72"/>
      <c r="F148" s="72"/>
      <c r="G148" s="72"/>
      <c r="H148" s="72"/>
    </row>
    <row r="149" spans="2:8">
      <c r="C149" s="71"/>
      <c r="D149" s="71"/>
      <c r="E149" s="71"/>
      <c r="F149" s="71"/>
      <c r="G149" s="71"/>
      <c r="H149" s="71"/>
    </row>
    <row r="150" spans="2:8" ht="17">
      <c r="B150" s="76" t="s">
        <v>212</v>
      </c>
      <c r="C150" s="77" t="s">
        <v>213</v>
      </c>
      <c r="D150" s="77" t="s">
        <v>214</v>
      </c>
      <c r="E150" s="77" t="s">
        <v>215</v>
      </c>
      <c r="F150" s="77" t="s">
        <v>2</v>
      </c>
      <c r="G150" s="77" t="s">
        <v>216</v>
      </c>
      <c r="H150" s="77" t="s">
        <v>4</v>
      </c>
    </row>
    <row r="151" spans="2:8">
      <c r="B151" s="184" t="s">
        <v>197</v>
      </c>
      <c r="C151" s="78" t="s">
        <v>167</v>
      </c>
      <c r="D151" s="78" t="s">
        <v>144</v>
      </c>
      <c r="E151" s="78">
        <v>1</v>
      </c>
      <c r="F151" s="78" t="s">
        <v>125</v>
      </c>
      <c r="G151" s="79">
        <v>3500000</v>
      </c>
      <c r="H151" s="80">
        <f t="shared" ref="H151" si="8">E151*G151</f>
        <v>3500000</v>
      </c>
    </row>
    <row r="152" spans="2:8">
      <c r="B152" s="184"/>
      <c r="C152" s="78" t="s">
        <v>168</v>
      </c>
      <c r="D152" s="78" t="s">
        <v>145</v>
      </c>
      <c r="E152" s="78">
        <v>1</v>
      </c>
      <c r="F152" s="78" t="s">
        <v>125</v>
      </c>
      <c r="G152" s="79">
        <v>875000</v>
      </c>
      <c r="H152" s="80">
        <f t="shared" ref="H152:H155" si="9">E152*G152</f>
        <v>875000</v>
      </c>
    </row>
    <row r="153" spans="2:8">
      <c r="B153" s="184"/>
      <c r="C153" s="78" t="s">
        <v>130</v>
      </c>
      <c r="D153" s="78" t="s">
        <v>205</v>
      </c>
      <c r="E153" s="78">
        <v>2</v>
      </c>
      <c r="F153" s="78" t="s">
        <v>125</v>
      </c>
      <c r="G153" s="79">
        <v>1200000</v>
      </c>
      <c r="H153" s="80">
        <f t="shared" si="9"/>
        <v>2400000</v>
      </c>
    </row>
    <row r="154" spans="2:8">
      <c r="B154" s="184"/>
      <c r="C154" s="78" t="s">
        <v>196</v>
      </c>
      <c r="D154" s="78" t="s">
        <v>146</v>
      </c>
      <c r="E154" s="78">
        <v>1</v>
      </c>
      <c r="F154" s="78" t="s">
        <v>125</v>
      </c>
      <c r="G154" s="79">
        <v>4091000</v>
      </c>
      <c r="H154" s="80">
        <f t="shared" si="9"/>
        <v>4091000</v>
      </c>
    </row>
    <row r="155" spans="2:8">
      <c r="B155" s="184"/>
      <c r="C155" s="78" t="s">
        <v>169</v>
      </c>
      <c r="D155" s="78" t="s">
        <v>147</v>
      </c>
      <c r="E155" s="78">
        <v>1</v>
      </c>
      <c r="F155" s="78" t="s">
        <v>125</v>
      </c>
      <c r="G155" s="79">
        <v>1140000</v>
      </c>
      <c r="H155" s="80">
        <f t="shared" si="9"/>
        <v>1140000</v>
      </c>
    </row>
    <row r="156" spans="2:8">
      <c r="B156" s="184"/>
      <c r="C156" s="78" t="s">
        <v>170</v>
      </c>
      <c r="D156" s="78" t="s">
        <v>148</v>
      </c>
      <c r="E156" s="78">
        <v>1</v>
      </c>
      <c r="F156" s="78" t="s">
        <v>125</v>
      </c>
      <c r="G156" s="79">
        <v>350000</v>
      </c>
      <c r="H156" s="80">
        <f t="shared" ref="H156:H170" si="10">E156*G156</f>
        <v>350000</v>
      </c>
    </row>
    <row r="157" spans="2:8">
      <c r="B157" s="185" t="s">
        <v>198</v>
      </c>
      <c r="C157" s="81" t="s">
        <v>171</v>
      </c>
      <c r="D157" s="81" t="s">
        <v>149</v>
      </c>
      <c r="E157" s="81">
        <v>1</v>
      </c>
      <c r="F157" s="81" t="s">
        <v>125</v>
      </c>
      <c r="G157" s="82">
        <v>1783000</v>
      </c>
      <c r="H157" s="83">
        <f t="shared" si="10"/>
        <v>1783000</v>
      </c>
    </row>
    <row r="158" spans="2:8">
      <c r="B158" s="185"/>
      <c r="C158" s="81" t="s">
        <v>172</v>
      </c>
      <c r="D158" s="81" t="s">
        <v>150</v>
      </c>
      <c r="E158" s="81">
        <v>1</v>
      </c>
      <c r="F158" s="81" t="s">
        <v>125</v>
      </c>
      <c r="G158" s="82">
        <v>2555000</v>
      </c>
      <c r="H158" s="83">
        <f t="shared" si="10"/>
        <v>2555000</v>
      </c>
    </row>
    <row r="159" spans="2:8" ht="17">
      <c r="B159" s="84" t="s">
        <v>120</v>
      </c>
      <c r="C159" s="85" t="s">
        <v>173</v>
      </c>
      <c r="D159" s="85" t="s">
        <v>69</v>
      </c>
      <c r="E159" s="85">
        <v>1</v>
      </c>
      <c r="F159" s="85" t="s">
        <v>125</v>
      </c>
      <c r="G159" s="86">
        <v>250500</v>
      </c>
      <c r="H159" s="87">
        <f t="shared" si="10"/>
        <v>250500</v>
      </c>
    </row>
    <row r="160" spans="2:8">
      <c r="B160" s="176" t="s">
        <v>122</v>
      </c>
      <c r="C160" s="88" t="s">
        <v>174</v>
      </c>
      <c r="D160" s="88" t="s">
        <v>70</v>
      </c>
      <c r="E160" s="88">
        <v>1</v>
      </c>
      <c r="F160" s="88" t="s">
        <v>125</v>
      </c>
      <c r="G160" s="89">
        <v>50000</v>
      </c>
      <c r="H160" s="90">
        <f t="shared" si="10"/>
        <v>50000</v>
      </c>
    </row>
    <row r="161" spans="2:8">
      <c r="B161" s="176"/>
      <c r="C161" s="88" t="s">
        <v>175</v>
      </c>
      <c r="D161" s="88" t="s">
        <v>151</v>
      </c>
      <c r="E161" s="88">
        <v>1</v>
      </c>
      <c r="F161" s="88" t="s">
        <v>125</v>
      </c>
      <c r="G161" s="89">
        <v>149000</v>
      </c>
      <c r="H161" s="90">
        <f t="shared" si="10"/>
        <v>149000</v>
      </c>
    </row>
    <row r="162" spans="2:8">
      <c r="B162" s="176"/>
      <c r="C162" s="88" t="s">
        <v>176</v>
      </c>
      <c r="D162" s="88" t="s">
        <v>152</v>
      </c>
      <c r="E162" s="88">
        <v>2</v>
      </c>
      <c r="F162" s="88" t="s">
        <v>125</v>
      </c>
      <c r="G162" s="89">
        <v>15000</v>
      </c>
      <c r="H162" s="90">
        <f t="shared" si="10"/>
        <v>30000</v>
      </c>
    </row>
    <row r="163" spans="2:8">
      <c r="B163" s="177" t="s">
        <v>123</v>
      </c>
      <c r="C163" s="91" t="s">
        <v>177</v>
      </c>
      <c r="D163" s="91" t="s">
        <v>153</v>
      </c>
      <c r="E163" s="91">
        <v>14</v>
      </c>
      <c r="F163" s="91" t="s">
        <v>126</v>
      </c>
      <c r="G163" s="92">
        <v>125000</v>
      </c>
      <c r="H163" s="93">
        <f t="shared" si="10"/>
        <v>1750000</v>
      </c>
    </row>
    <row r="164" spans="2:8">
      <c r="B164" s="177"/>
      <c r="C164" s="91" t="s">
        <v>178</v>
      </c>
      <c r="D164" s="91" t="s">
        <v>154</v>
      </c>
      <c r="E164" s="91">
        <v>1</v>
      </c>
      <c r="F164" s="91" t="s">
        <v>126</v>
      </c>
      <c r="G164" s="92">
        <v>16000</v>
      </c>
      <c r="H164" s="93">
        <f t="shared" si="10"/>
        <v>16000</v>
      </c>
    </row>
    <row r="165" spans="2:8">
      <c r="B165" s="177"/>
      <c r="C165" s="91" t="s">
        <v>179</v>
      </c>
      <c r="D165" s="91" t="s">
        <v>155</v>
      </c>
      <c r="E165" s="91">
        <v>2</v>
      </c>
      <c r="F165" s="91" t="s">
        <v>126</v>
      </c>
      <c r="G165" s="92">
        <v>9000</v>
      </c>
      <c r="H165" s="93">
        <f t="shared" si="10"/>
        <v>18000</v>
      </c>
    </row>
    <row r="166" spans="2:8">
      <c r="B166" s="178" t="s">
        <v>112</v>
      </c>
      <c r="C166" s="94" t="s">
        <v>180</v>
      </c>
      <c r="D166" s="94" t="s">
        <v>135</v>
      </c>
      <c r="E166" s="94">
        <v>2</v>
      </c>
      <c r="F166" s="94" t="s">
        <v>126</v>
      </c>
      <c r="G166" s="95">
        <v>3500</v>
      </c>
      <c r="H166" s="96">
        <f t="shared" si="10"/>
        <v>7000</v>
      </c>
    </row>
    <row r="167" spans="2:8">
      <c r="B167" s="178"/>
      <c r="C167" s="94" t="s">
        <v>181</v>
      </c>
      <c r="D167" s="94" t="s">
        <v>136</v>
      </c>
      <c r="E167" s="94">
        <v>1</v>
      </c>
      <c r="F167" s="94" t="s">
        <v>126</v>
      </c>
      <c r="G167" s="95">
        <v>95000</v>
      </c>
      <c r="H167" s="96">
        <f t="shared" si="10"/>
        <v>95000</v>
      </c>
    </row>
    <row r="168" spans="2:8">
      <c r="B168" s="178"/>
      <c r="C168" s="94" t="s">
        <v>182</v>
      </c>
      <c r="D168" s="94" t="s">
        <v>137</v>
      </c>
      <c r="E168" s="94">
        <v>1</v>
      </c>
      <c r="F168" s="94" t="s">
        <v>126</v>
      </c>
      <c r="G168" s="95">
        <v>25000</v>
      </c>
      <c r="H168" s="96">
        <f t="shared" si="10"/>
        <v>25000</v>
      </c>
    </row>
    <row r="169" spans="2:8">
      <c r="B169" s="178"/>
      <c r="C169" s="94" t="s">
        <v>183</v>
      </c>
      <c r="D169" s="94" t="s">
        <v>138</v>
      </c>
      <c r="E169" s="94">
        <v>2</v>
      </c>
      <c r="F169" s="94" t="s">
        <v>126</v>
      </c>
      <c r="G169" s="95">
        <v>55000</v>
      </c>
      <c r="H169" s="96">
        <f t="shared" si="10"/>
        <v>110000</v>
      </c>
    </row>
    <row r="170" spans="2:8">
      <c r="B170" s="178"/>
      <c r="C170" s="94" t="s">
        <v>184</v>
      </c>
      <c r="D170" s="94" t="s">
        <v>139</v>
      </c>
      <c r="E170" s="94">
        <v>2</v>
      </c>
      <c r="F170" s="94" t="s">
        <v>126</v>
      </c>
      <c r="G170" s="95">
        <v>50000</v>
      </c>
      <c r="H170" s="96">
        <f t="shared" si="10"/>
        <v>100000</v>
      </c>
    </row>
    <row r="171" spans="2:8">
      <c r="B171" s="179" t="s">
        <v>111</v>
      </c>
      <c r="C171" s="97" t="s">
        <v>185</v>
      </c>
      <c r="D171" s="97" t="s">
        <v>156</v>
      </c>
      <c r="E171" s="97">
        <v>2</v>
      </c>
      <c r="F171" s="97" t="s">
        <v>126</v>
      </c>
      <c r="G171" s="98">
        <v>19500</v>
      </c>
      <c r="H171" s="99">
        <f t="shared" ref="H171:H185" si="11">E171*G171</f>
        <v>39000</v>
      </c>
    </row>
    <row r="172" spans="2:8">
      <c r="B172" s="179"/>
      <c r="C172" s="97" t="s">
        <v>186</v>
      </c>
      <c r="D172" s="97" t="s">
        <v>157</v>
      </c>
      <c r="E172" s="97">
        <v>1</v>
      </c>
      <c r="F172" s="97" t="s">
        <v>126</v>
      </c>
      <c r="G172" s="98">
        <v>25000</v>
      </c>
      <c r="H172" s="99">
        <f t="shared" si="11"/>
        <v>25000</v>
      </c>
    </row>
    <row r="173" spans="2:8">
      <c r="B173" s="180" t="s">
        <v>113</v>
      </c>
      <c r="C173" s="100" t="s">
        <v>187</v>
      </c>
      <c r="D173" s="100" t="s">
        <v>158</v>
      </c>
      <c r="E173" s="100">
        <v>10</v>
      </c>
      <c r="F173" s="100" t="s">
        <v>125</v>
      </c>
      <c r="G173" s="101">
        <v>18000</v>
      </c>
      <c r="H173" s="102">
        <f t="shared" si="11"/>
        <v>180000</v>
      </c>
    </row>
    <row r="174" spans="2:8">
      <c r="B174" s="180"/>
      <c r="C174" s="100" t="s">
        <v>188</v>
      </c>
      <c r="D174" s="100" t="s">
        <v>159</v>
      </c>
      <c r="E174" s="100">
        <v>1</v>
      </c>
      <c r="F174" s="100" t="s">
        <v>126</v>
      </c>
      <c r="G174" s="101">
        <v>17000</v>
      </c>
      <c r="H174" s="102">
        <f t="shared" si="11"/>
        <v>17000</v>
      </c>
    </row>
    <row r="175" spans="2:8">
      <c r="B175" s="180"/>
      <c r="C175" s="100" t="s">
        <v>189</v>
      </c>
      <c r="D175" s="100" t="s">
        <v>160</v>
      </c>
      <c r="E175" s="100">
        <v>1</v>
      </c>
      <c r="F175" s="100" t="s">
        <v>125</v>
      </c>
      <c r="G175" s="101">
        <v>425000</v>
      </c>
      <c r="H175" s="102">
        <f t="shared" si="11"/>
        <v>425000</v>
      </c>
    </row>
    <row r="176" spans="2:8">
      <c r="B176" s="181" t="s">
        <v>114</v>
      </c>
      <c r="C176" s="103" t="s">
        <v>190</v>
      </c>
      <c r="D176" s="103" t="s">
        <v>161</v>
      </c>
      <c r="E176" s="103">
        <v>1</v>
      </c>
      <c r="F176" s="103" t="s">
        <v>126</v>
      </c>
      <c r="G176" s="104">
        <v>275000</v>
      </c>
      <c r="H176" s="105">
        <f t="shared" si="11"/>
        <v>275000</v>
      </c>
    </row>
    <row r="177" spans="2:8">
      <c r="B177" s="181"/>
      <c r="C177" s="103" t="s">
        <v>191</v>
      </c>
      <c r="D177" s="103" t="s">
        <v>162</v>
      </c>
      <c r="E177" s="103">
        <v>3</v>
      </c>
      <c r="F177" s="103" t="s">
        <v>126</v>
      </c>
      <c r="G177" s="104">
        <v>10000</v>
      </c>
      <c r="H177" s="105">
        <f t="shared" si="11"/>
        <v>30000</v>
      </c>
    </row>
    <row r="178" spans="2:8">
      <c r="B178" s="181"/>
      <c r="C178" s="103" t="s">
        <v>192</v>
      </c>
      <c r="D178" s="103" t="s">
        <v>163</v>
      </c>
      <c r="E178" s="103">
        <v>1</v>
      </c>
      <c r="F178" s="103" t="s">
        <v>126</v>
      </c>
      <c r="G178" s="104">
        <v>332000</v>
      </c>
      <c r="H178" s="105">
        <f t="shared" si="11"/>
        <v>332000</v>
      </c>
    </row>
    <row r="179" spans="2:8">
      <c r="B179" s="181"/>
      <c r="C179" s="103" t="s">
        <v>193</v>
      </c>
      <c r="D179" s="103" t="s">
        <v>164</v>
      </c>
      <c r="E179" s="103">
        <v>1</v>
      </c>
      <c r="F179" s="103" t="s">
        <v>126</v>
      </c>
      <c r="G179" s="104">
        <v>6500</v>
      </c>
      <c r="H179" s="105">
        <f t="shared" si="11"/>
        <v>6500</v>
      </c>
    </row>
    <row r="180" spans="2:8">
      <c r="B180" s="181"/>
      <c r="C180" s="103" t="s">
        <v>194</v>
      </c>
      <c r="D180" s="103" t="s">
        <v>165</v>
      </c>
      <c r="E180" s="103">
        <v>1</v>
      </c>
      <c r="F180" s="103" t="s">
        <v>126</v>
      </c>
      <c r="G180" s="104">
        <v>13000</v>
      </c>
      <c r="H180" s="105">
        <f t="shared" si="11"/>
        <v>13000</v>
      </c>
    </row>
    <row r="181" spans="2:8">
      <c r="B181" s="181"/>
      <c r="C181" s="103" t="s">
        <v>195</v>
      </c>
      <c r="D181" s="103" t="s">
        <v>166</v>
      </c>
      <c r="E181" s="103">
        <v>3</v>
      </c>
      <c r="F181" s="103" t="s">
        <v>126</v>
      </c>
      <c r="G181" s="104">
        <v>50000</v>
      </c>
      <c r="H181" s="105">
        <f t="shared" si="11"/>
        <v>150000</v>
      </c>
    </row>
    <row r="182" spans="2:8">
      <c r="B182" s="106" t="s">
        <v>199</v>
      </c>
      <c r="C182" s="107" t="s">
        <v>131</v>
      </c>
      <c r="D182" s="108" t="s">
        <v>207</v>
      </c>
      <c r="E182" s="109">
        <v>12</v>
      </c>
      <c r="F182" s="109" t="s">
        <v>127</v>
      </c>
      <c r="G182" s="109">
        <v>299000</v>
      </c>
      <c r="H182" s="110">
        <f t="shared" si="11"/>
        <v>3588000</v>
      </c>
    </row>
    <row r="183" spans="2:8">
      <c r="B183" s="106" t="s">
        <v>202</v>
      </c>
      <c r="C183" s="107" t="s">
        <v>133</v>
      </c>
      <c r="D183" s="108" t="s">
        <v>208</v>
      </c>
      <c r="E183" s="109">
        <v>12</v>
      </c>
      <c r="F183" s="109" t="s">
        <v>28</v>
      </c>
      <c r="G183" s="109">
        <v>750000</v>
      </c>
      <c r="H183" s="110">
        <f t="shared" si="11"/>
        <v>9000000</v>
      </c>
    </row>
    <row r="184" spans="2:8">
      <c r="B184" s="106" t="s">
        <v>203</v>
      </c>
      <c r="C184" s="107" t="s">
        <v>132</v>
      </c>
      <c r="D184" s="108" t="s">
        <v>200</v>
      </c>
      <c r="E184" s="109">
        <v>1</v>
      </c>
      <c r="F184" s="109" t="s">
        <v>126</v>
      </c>
      <c r="G184" s="109">
        <v>105000</v>
      </c>
      <c r="H184" s="110">
        <f t="shared" si="11"/>
        <v>105000</v>
      </c>
    </row>
    <row r="185" spans="2:8">
      <c r="B185" s="111" t="s">
        <v>204</v>
      </c>
      <c r="C185" s="112" t="s">
        <v>132</v>
      </c>
      <c r="D185" s="113" t="s">
        <v>201</v>
      </c>
      <c r="E185" s="114">
        <v>4</v>
      </c>
      <c r="F185" s="114" t="s">
        <v>128</v>
      </c>
      <c r="G185" s="114">
        <v>130000</v>
      </c>
      <c r="H185" s="115">
        <f t="shared" si="11"/>
        <v>520000</v>
      </c>
    </row>
    <row r="186" spans="2:8">
      <c r="B186" s="69"/>
      <c r="C186" s="60"/>
      <c r="D186" s="60"/>
      <c r="E186" s="60"/>
      <c r="F186" s="60"/>
      <c r="G186" s="71"/>
      <c r="H186" s="71"/>
    </row>
    <row r="187" spans="2:8">
      <c r="B187" s="69"/>
      <c r="C187" s="60"/>
      <c r="D187" s="60"/>
      <c r="E187" s="60"/>
      <c r="F187" s="60"/>
      <c r="G187" s="71"/>
      <c r="H187" s="71"/>
    </row>
    <row r="188" spans="2:8">
      <c r="B188" s="69"/>
      <c r="C188" s="60"/>
      <c r="D188" s="60"/>
      <c r="E188" s="60"/>
      <c r="F188" s="175" t="s">
        <v>206</v>
      </c>
      <c r="G188" s="175"/>
      <c r="H188" s="74">
        <f>SUM(H151:H187)</f>
        <v>34000000</v>
      </c>
    </row>
  </sheetData>
  <mergeCells count="11">
    <mergeCell ref="B4:L4"/>
    <mergeCell ref="C2:L2"/>
    <mergeCell ref="B151:B156"/>
    <mergeCell ref="B157:B158"/>
    <mergeCell ref="F188:G188"/>
    <mergeCell ref="B160:B162"/>
    <mergeCell ref="B163:B165"/>
    <mergeCell ref="B166:B170"/>
    <mergeCell ref="B171:B172"/>
    <mergeCell ref="B173:B175"/>
    <mergeCell ref="B176:B181"/>
  </mergeCells>
  <hyperlinks>
    <hyperlink ref="C151" r:id="rId1" xr:uid="{B0BE143A-3B4E-B245-95B0-4AAB3E506E5F}"/>
    <hyperlink ref="C159" r:id="rId2" xr:uid="{81B0BDBA-D3FA-B142-A1DA-4956D1ADE1AD}"/>
    <hyperlink ref="C153" r:id="rId3" xr:uid="{F38F5411-C325-9A46-B626-1376D4BD8221}"/>
  </hyperlinks>
  <pageMargins left="0.7" right="0.7" top="0.75" bottom="0.75" header="0.3" footer="0.3"/>
  <pageSetup paperSize="9" scale="0" firstPageNumber="0" fitToWidth="0" fitToHeight="0" orientation="portrait" horizontalDpi="0" verticalDpi="0" copie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BCC2-1E32-C045-B546-A3F70EA24189}">
  <dimension ref="B2:U53"/>
  <sheetViews>
    <sheetView showGridLines="0" topLeftCell="A5" zoomScaleNormal="100" workbookViewId="0">
      <selection activeCell="E25" sqref="E25"/>
    </sheetView>
  </sheetViews>
  <sheetFormatPr baseColWidth="10" defaultRowHeight="16"/>
  <cols>
    <col min="1" max="1" width="9.1640625" style="117" customWidth="1"/>
    <col min="2" max="2" width="37.5" style="117" bestFit="1" customWidth="1"/>
    <col min="3" max="3" width="16.5" style="117" customWidth="1"/>
    <col min="4" max="4" width="17.1640625" style="117" customWidth="1"/>
    <col min="5" max="5" width="13.5" style="117" customWidth="1"/>
    <col min="6" max="6" width="15.5" style="117" customWidth="1"/>
    <col min="7" max="7" width="16" style="117" customWidth="1"/>
    <col min="8" max="8" width="18.33203125" style="117" customWidth="1"/>
    <col min="9" max="9" width="18.5" style="117" customWidth="1"/>
    <col min="10" max="10" width="4.5" style="117" customWidth="1"/>
    <col min="11" max="19" width="10.83203125" style="117"/>
    <col min="20" max="20" width="16.33203125" style="117" bestFit="1" customWidth="1"/>
    <col min="21" max="21" width="12.5" style="117" bestFit="1" customWidth="1"/>
    <col min="22" max="16384" width="10.83203125" style="117"/>
  </cols>
  <sheetData>
    <row r="2" spans="2:21">
      <c r="B2" s="188" t="s">
        <v>219</v>
      </c>
      <c r="C2" s="189"/>
      <c r="D2" s="189"/>
      <c r="E2" s="190"/>
    </row>
    <row r="3" spans="2:21" ht="20" customHeight="1">
      <c r="B3" s="118" t="s">
        <v>220</v>
      </c>
      <c r="C3" s="62" t="s">
        <v>250</v>
      </c>
      <c r="E3" s="119"/>
    </row>
    <row r="4" spans="2:21" ht="20" customHeight="1">
      <c r="B4" s="118" t="s">
        <v>221</v>
      </c>
      <c r="C4" s="62">
        <v>1205222060</v>
      </c>
      <c r="E4" s="119"/>
    </row>
    <row r="5" spans="2:21" ht="20" customHeight="1">
      <c r="B5" s="120" t="s">
        <v>222</v>
      </c>
      <c r="C5" s="121" t="s">
        <v>251</v>
      </c>
      <c r="D5" s="122"/>
      <c r="E5" s="123"/>
    </row>
    <row r="7" spans="2:21" ht="20" customHeight="1">
      <c r="B7" s="124" t="s">
        <v>223</v>
      </c>
      <c r="C7" s="62" t="s">
        <v>252</v>
      </c>
    </row>
    <row r="8" spans="2:21" ht="20" customHeight="1">
      <c r="B8" s="124" t="s">
        <v>224</v>
      </c>
      <c r="C8" s="125" t="s">
        <v>253</v>
      </c>
    </row>
    <row r="9" spans="2:21" ht="20" customHeight="1">
      <c r="B9" s="124" t="s">
        <v>225</v>
      </c>
      <c r="C9" s="135">
        <v>45380</v>
      </c>
    </row>
    <row r="10" spans="2:21">
      <c r="T10" s="126" t="s">
        <v>226</v>
      </c>
      <c r="U10" s="126" t="s">
        <v>227</v>
      </c>
    </row>
    <row r="11" spans="2:21" ht="20" customHeight="1">
      <c r="B11" s="191" t="s">
        <v>228</v>
      </c>
      <c r="C11" s="192"/>
      <c r="D11" s="126" t="s">
        <v>229</v>
      </c>
      <c r="T11" s="126" t="s">
        <v>230</v>
      </c>
      <c r="U11" s="126" t="s">
        <v>231</v>
      </c>
    </row>
    <row r="12" spans="2:21" ht="20" customHeight="1">
      <c r="B12" s="191" t="s">
        <v>288</v>
      </c>
      <c r="C12" s="192"/>
      <c r="D12" s="127">
        <v>5000000</v>
      </c>
      <c r="T12" s="126" t="s">
        <v>232</v>
      </c>
      <c r="U12" s="126" t="s">
        <v>233</v>
      </c>
    </row>
    <row r="13" spans="2:21" ht="20" customHeight="1">
      <c r="B13" s="191" t="s">
        <v>234</v>
      </c>
      <c r="C13" s="192"/>
      <c r="D13" s="136">
        <f>I43</f>
        <v>7.3305445000000025E-2</v>
      </c>
    </row>
    <row r="15" spans="2:21" ht="34">
      <c r="B15" s="128" t="s">
        <v>235</v>
      </c>
      <c r="C15" s="129" t="s">
        <v>236</v>
      </c>
      <c r="D15" s="129" t="s">
        <v>237</v>
      </c>
    </row>
    <row r="16" spans="2:21" ht="20" customHeight="1">
      <c r="B16" s="130" t="s">
        <v>233</v>
      </c>
      <c r="C16" s="131">
        <v>6.4000000000000001E-2</v>
      </c>
      <c r="D16" s="132">
        <f>C16*D12</f>
        <v>320000</v>
      </c>
    </row>
    <row r="17" spans="2:10" ht="20" customHeight="1">
      <c r="B17" s="130" t="s">
        <v>231</v>
      </c>
      <c r="C17" s="131">
        <v>0.43990000000000001</v>
      </c>
      <c r="D17" s="132">
        <f>C17*D$12</f>
        <v>2199500</v>
      </c>
    </row>
    <row r="18" spans="2:10" ht="20" customHeight="1">
      <c r="B18" s="130" t="s">
        <v>227</v>
      </c>
      <c r="C18" s="131">
        <v>0.49609999999999999</v>
      </c>
      <c r="D18" s="132">
        <f>C18*D$12</f>
        <v>2480500</v>
      </c>
    </row>
    <row r="19" spans="2:10" ht="20" customHeight="1">
      <c r="B19" s="137" t="s">
        <v>238</v>
      </c>
      <c r="C19" s="138">
        <f>SUM(C16:C18)</f>
        <v>1</v>
      </c>
      <c r="D19" s="139">
        <f>SUM(D16:D18)</f>
        <v>5000000</v>
      </c>
    </row>
    <row r="21" spans="2:10">
      <c r="B21" s="128" t="s">
        <v>239</v>
      </c>
    </row>
    <row r="23" spans="2:10" ht="51">
      <c r="B23" s="128" t="s">
        <v>240</v>
      </c>
      <c r="C23" s="128" t="s">
        <v>241</v>
      </c>
      <c r="D23" s="128" t="s">
        <v>242</v>
      </c>
      <c r="E23" s="129" t="s">
        <v>243</v>
      </c>
      <c r="F23" s="129" t="s">
        <v>244</v>
      </c>
      <c r="G23" s="129" t="s">
        <v>245</v>
      </c>
      <c r="H23" s="129" t="s">
        <v>246</v>
      </c>
      <c r="I23" s="129" t="s">
        <v>247</v>
      </c>
      <c r="J23" s="133"/>
    </row>
    <row r="24" spans="2:10">
      <c r="B24" s="117">
        <v>1</v>
      </c>
      <c r="C24" s="117">
        <v>2</v>
      </c>
      <c r="D24" s="117">
        <v>3</v>
      </c>
      <c r="E24" s="117">
        <v>4</v>
      </c>
      <c r="F24" s="117">
        <v>5</v>
      </c>
      <c r="G24" s="117">
        <v>6</v>
      </c>
      <c r="H24" s="117" t="s">
        <v>248</v>
      </c>
      <c r="I24" s="117" t="s">
        <v>249</v>
      </c>
    </row>
    <row r="25" spans="2:10" ht="20" customHeight="1">
      <c r="B25" s="140" t="s">
        <v>254</v>
      </c>
      <c r="C25" s="141" t="s">
        <v>230</v>
      </c>
      <c r="D25" s="141" t="s">
        <v>231</v>
      </c>
      <c r="E25" s="142">
        <v>0.128</v>
      </c>
      <c r="F25" s="143">
        <f>E25*D$12</f>
        <v>640000</v>
      </c>
      <c r="G25" s="142">
        <v>8.1250000000000003E-2</v>
      </c>
      <c r="H25" s="143">
        <f t="shared" ref="H25:H42" si="0">F25*G25</f>
        <v>52000</v>
      </c>
      <c r="I25" s="142">
        <f t="shared" ref="I25:I42" si="1">H25/$D$12</f>
        <v>1.04E-2</v>
      </c>
      <c r="J25" s="193"/>
    </row>
    <row r="26" spans="2:10" ht="20" customHeight="1">
      <c r="B26" s="144" t="s">
        <v>255</v>
      </c>
      <c r="C26" s="145" t="s">
        <v>226</v>
      </c>
      <c r="D26" s="145" t="s">
        <v>256</v>
      </c>
      <c r="E26" s="146">
        <v>9.7000000000000003E-2</v>
      </c>
      <c r="F26" s="147">
        <f t="shared" ref="F26:F42" si="2">E26*D$12</f>
        <v>485000</v>
      </c>
      <c r="G26" s="146">
        <v>0.25779999999999997</v>
      </c>
      <c r="H26" s="147">
        <f t="shared" si="0"/>
        <v>125032.99999999999</v>
      </c>
      <c r="I26" s="146">
        <f t="shared" si="1"/>
        <v>2.5006599999999997E-2</v>
      </c>
      <c r="J26" s="193"/>
    </row>
    <row r="27" spans="2:10" ht="20" customHeight="1">
      <c r="B27" s="144" t="s">
        <v>257</v>
      </c>
      <c r="C27" s="145" t="s">
        <v>226</v>
      </c>
      <c r="D27" s="145" t="s">
        <v>256</v>
      </c>
      <c r="E27" s="146">
        <v>7.2900000000000006E-2</v>
      </c>
      <c r="F27" s="147">
        <f t="shared" si="2"/>
        <v>364500.00000000006</v>
      </c>
      <c r="G27" s="146">
        <v>0.16289999999999999</v>
      </c>
      <c r="H27" s="147">
        <f t="shared" si="0"/>
        <v>59377.05</v>
      </c>
      <c r="I27" s="146">
        <f t="shared" si="1"/>
        <v>1.1875410000000001E-2</v>
      </c>
      <c r="J27" s="193"/>
    </row>
    <row r="28" spans="2:10" ht="20" customHeight="1">
      <c r="B28" s="140" t="s">
        <v>258</v>
      </c>
      <c r="C28" s="141" t="s">
        <v>230</v>
      </c>
      <c r="D28" s="141" t="s">
        <v>231</v>
      </c>
      <c r="E28" s="142">
        <v>7.2800000000000004E-2</v>
      </c>
      <c r="F28" s="143">
        <f t="shared" si="2"/>
        <v>364000</v>
      </c>
      <c r="G28" s="142">
        <v>8.3799999999999999E-2</v>
      </c>
      <c r="H28" s="143">
        <f t="shared" si="0"/>
        <v>30503.200000000001</v>
      </c>
      <c r="I28" s="142">
        <f t="shared" si="1"/>
        <v>6.1006400000000001E-3</v>
      </c>
      <c r="J28" s="193"/>
    </row>
    <row r="29" spans="2:10" ht="20" customHeight="1">
      <c r="B29" s="144" t="s">
        <v>259</v>
      </c>
      <c r="C29" s="145" t="s">
        <v>226</v>
      </c>
      <c r="D29" s="145" t="s">
        <v>256</v>
      </c>
      <c r="E29" s="146">
        <v>6.8000000000000005E-2</v>
      </c>
      <c r="F29" s="147">
        <f t="shared" si="2"/>
        <v>340000</v>
      </c>
      <c r="G29" s="146">
        <v>-0.1537</v>
      </c>
      <c r="H29" s="147">
        <f t="shared" si="0"/>
        <v>-52258</v>
      </c>
      <c r="I29" s="146">
        <f t="shared" si="1"/>
        <v>-1.04516E-2</v>
      </c>
      <c r="J29" s="193"/>
    </row>
    <row r="30" spans="2:10" ht="20" customHeight="1">
      <c r="B30" s="140" t="s">
        <v>260</v>
      </c>
      <c r="C30" s="141" t="s">
        <v>230</v>
      </c>
      <c r="D30" s="141" t="s">
        <v>231</v>
      </c>
      <c r="E30" s="142">
        <v>6.5500000000000003E-2</v>
      </c>
      <c r="F30" s="143">
        <f t="shared" si="2"/>
        <v>327500</v>
      </c>
      <c r="G30" s="142">
        <v>0.1075</v>
      </c>
      <c r="H30" s="143">
        <f t="shared" si="0"/>
        <v>35206.25</v>
      </c>
      <c r="I30" s="142">
        <f t="shared" si="1"/>
        <v>7.0412499999999998E-3</v>
      </c>
      <c r="J30" s="193"/>
    </row>
    <row r="31" spans="2:10" ht="20" customHeight="1">
      <c r="B31" s="140" t="s">
        <v>261</v>
      </c>
      <c r="C31" s="141" t="s">
        <v>230</v>
      </c>
      <c r="D31" s="141" t="s">
        <v>231</v>
      </c>
      <c r="E31" s="142">
        <v>5.5100000000000003E-2</v>
      </c>
      <c r="F31" s="143">
        <f t="shared" si="2"/>
        <v>275500</v>
      </c>
      <c r="G31" s="142">
        <v>8.8749999999999996E-2</v>
      </c>
      <c r="H31" s="143">
        <f t="shared" si="0"/>
        <v>24450.625</v>
      </c>
      <c r="I31" s="142">
        <f t="shared" si="1"/>
        <v>4.8901250000000004E-3</v>
      </c>
      <c r="J31" s="193"/>
    </row>
    <row r="32" spans="2:10" ht="20" customHeight="1">
      <c r="B32" s="144" t="s">
        <v>262</v>
      </c>
      <c r="C32" s="145" t="s">
        <v>226</v>
      </c>
      <c r="D32" s="145" t="s">
        <v>256</v>
      </c>
      <c r="E32" s="146">
        <v>5.3999999999999999E-2</v>
      </c>
      <c r="F32" s="147">
        <f t="shared" si="2"/>
        <v>270000</v>
      </c>
      <c r="G32" s="146">
        <v>4.48E-2</v>
      </c>
      <c r="H32" s="147">
        <f t="shared" si="0"/>
        <v>12096</v>
      </c>
      <c r="I32" s="146">
        <f t="shared" si="1"/>
        <v>2.4191999999999998E-3</v>
      </c>
      <c r="J32" s="193"/>
    </row>
    <row r="33" spans="2:10" ht="20" customHeight="1">
      <c r="B33" s="144" t="s">
        <v>263</v>
      </c>
      <c r="C33" s="145" t="s">
        <v>226</v>
      </c>
      <c r="D33" s="145" t="s">
        <v>256</v>
      </c>
      <c r="E33" s="146">
        <v>4.7600000000000003E-2</v>
      </c>
      <c r="F33" s="147">
        <f t="shared" si="2"/>
        <v>238000.00000000003</v>
      </c>
      <c r="G33" s="146">
        <v>-6.25E-2</v>
      </c>
      <c r="H33" s="147">
        <f t="shared" si="0"/>
        <v>-14875.000000000002</v>
      </c>
      <c r="I33" s="146">
        <f t="shared" si="1"/>
        <v>-2.9750000000000002E-3</v>
      </c>
      <c r="J33" s="193"/>
    </row>
    <row r="34" spans="2:10" ht="20" customHeight="1">
      <c r="B34" s="144" t="s">
        <v>264</v>
      </c>
      <c r="C34" s="145" t="s">
        <v>226</v>
      </c>
      <c r="D34" s="145" t="s">
        <v>256</v>
      </c>
      <c r="E34" s="146">
        <v>4.58E-2</v>
      </c>
      <c r="F34" s="147">
        <f t="shared" si="2"/>
        <v>229000</v>
      </c>
      <c r="G34" s="146">
        <v>3.8999999999999998E-3</v>
      </c>
      <c r="H34" s="147">
        <f t="shared" si="0"/>
        <v>893.09999999999991</v>
      </c>
      <c r="I34" s="146">
        <f t="shared" si="1"/>
        <v>1.7861999999999999E-4</v>
      </c>
      <c r="J34" s="193"/>
    </row>
    <row r="35" spans="2:10" ht="20" customHeight="1">
      <c r="B35" s="140" t="s">
        <v>265</v>
      </c>
      <c r="C35" s="141" t="s">
        <v>230</v>
      </c>
      <c r="D35" s="141" t="s">
        <v>231</v>
      </c>
      <c r="E35" s="142">
        <v>3.95E-2</v>
      </c>
      <c r="F35" s="143">
        <f t="shared" si="2"/>
        <v>197500</v>
      </c>
      <c r="G35" s="142">
        <v>6.3E-2</v>
      </c>
      <c r="H35" s="143">
        <f t="shared" si="0"/>
        <v>12442.5</v>
      </c>
      <c r="I35" s="142">
        <f t="shared" si="1"/>
        <v>2.4884999999999998E-3</v>
      </c>
      <c r="J35" s="194"/>
    </row>
    <row r="36" spans="2:10" ht="20" customHeight="1">
      <c r="B36" s="140" t="s">
        <v>266</v>
      </c>
      <c r="C36" s="141" t="s">
        <v>230</v>
      </c>
      <c r="D36" s="141" t="s">
        <v>231</v>
      </c>
      <c r="E36" s="142">
        <v>3.95E-2</v>
      </c>
      <c r="F36" s="143">
        <f t="shared" si="2"/>
        <v>197500</v>
      </c>
      <c r="G36" s="142">
        <v>6.4000000000000001E-2</v>
      </c>
      <c r="H36" s="143">
        <f t="shared" si="0"/>
        <v>12640</v>
      </c>
      <c r="I36" s="142">
        <f t="shared" si="1"/>
        <v>2.5279999999999999E-3</v>
      </c>
      <c r="J36" s="194"/>
    </row>
    <row r="37" spans="2:10" ht="20" customHeight="1">
      <c r="B37" s="140" t="s">
        <v>267</v>
      </c>
      <c r="C37" s="141" t="s">
        <v>230</v>
      </c>
      <c r="D37" s="141" t="s">
        <v>231</v>
      </c>
      <c r="E37" s="142">
        <v>3.95E-2</v>
      </c>
      <c r="F37" s="143">
        <f t="shared" si="2"/>
        <v>197500</v>
      </c>
      <c r="G37" s="142">
        <v>5.9499999999999997E-2</v>
      </c>
      <c r="H37" s="143">
        <f t="shared" si="0"/>
        <v>11751.25</v>
      </c>
      <c r="I37" s="142">
        <f t="shared" si="1"/>
        <v>2.3502499999999999E-3</v>
      </c>
      <c r="J37" s="194"/>
    </row>
    <row r="38" spans="2:10" ht="20" customHeight="1">
      <c r="B38" s="144" t="s">
        <v>268</v>
      </c>
      <c r="C38" s="145" t="s">
        <v>226</v>
      </c>
      <c r="D38" s="145" t="s">
        <v>256</v>
      </c>
      <c r="E38" s="146">
        <v>3.6999999999999998E-2</v>
      </c>
      <c r="F38" s="147">
        <f t="shared" si="2"/>
        <v>185000</v>
      </c>
      <c r="G38" s="146">
        <v>2.76E-2</v>
      </c>
      <c r="H38" s="147">
        <f t="shared" si="0"/>
        <v>5106</v>
      </c>
      <c r="I38" s="146">
        <f t="shared" si="1"/>
        <v>1.0212000000000001E-3</v>
      </c>
      <c r="J38" s="194"/>
    </row>
    <row r="39" spans="2:10" ht="20" customHeight="1">
      <c r="B39" s="144" t="s">
        <v>269</v>
      </c>
      <c r="C39" s="145" t="s">
        <v>226</v>
      </c>
      <c r="D39" s="145" t="s">
        <v>256</v>
      </c>
      <c r="E39" s="146">
        <v>3.6900000000000002E-2</v>
      </c>
      <c r="F39" s="147">
        <f t="shared" si="2"/>
        <v>184500</v>
      </c>
      <c r="G39" s="146">
        <v>9.4700000000000006E-2</v>
      </c>
      <c r="H39" s="147">
        <f t="shared" si="0"/>
        <v>17472.150000000001</v>
      </c>
      <c r="I39" s="146">
        <f t="shared" si="1"/>
        <v>3.4944300000000002E-3</v>
      </c>
      <c r="J39" s="194"/>
    </row>
    <row r="40" spans="2:10" ht="20" customHeight="1">
      <c r="B40" s="144" t="s">
        <v>270</v>
      </c>
      <c r="C40" s="145" t="s">
        <v>226</v>
      </c>
      <c r="D40" s="145" t="s">
        <v>256</v>
      </c>
      <c r="E40" s="146">
        <v>3.6900000000000002E-2</v>
      </c>
      <c r="F40" s="147">
        <f t="shared" si="2"/>
        <v>184500</v>
      </c>
      <c r="G40" s="146">
        <v>0.10780000000000001</v>
      </c>
      <c r="H40" s="147">
        <f t="shared" si="0"/>
        <v>19889.100000000002</v>
      </c>
      <c r="I40" s="146">
        <f t="shared" si="1"/>
        <v>3.9778200000000008E-3</v>
      </c>
      <c r="J40" s="194"/>
    </row>
    <row r="41" spans="2:10" ht="20" customHeight="1">
      <c r="B41" s="148" t="s">
        <v>271</v>
      </c>
      <c r="C41" s="149" t="s">
        <v>232</v>
      </c>
      <c r="D41" s="149" t="s">
        <v>272</v>
      </c>
      <c r="E41" s="150">
        <v>3.2000000000000001E-2</v>
      </c>
      <c r="F41" s="151">
        <f t="shared" si="2"/>
        <v>160000</v>
      </c>
      <c r="G41" s="150">
        <v>0.03</v>
      </c>
      <c r="H41" s="151">
        <f t="shared" si="0"/>
        <v>4800</v>
      </c>
      <c r="I41" s="150">
        <f t="shared" si="1"/>
        <v>9.6000000000000002E-4</v>
      </c>
      <c r="J41" s="194"/>
    </row>
    <row r="42" spans="2:10" ht="20" customHeight="1">
      <c r="B42" s="148" t="s">
        <v>273</v>
      </c>
      <c r="C42" s="149" t="s">
        <v>232</v>
      </c>
      <c r="D42" s="149" t="s">
        <v>272</v>
      </c>
      <c r="E42" s="150">
        <v>3.2000000000000001E-2</v>
      </c>
      <c r="F42" s="151">
        <f t="shared" si="2"/>
        <v>160000</v>
      </c>
      <c r="G42" s="150">
        <v>6.25E-2</v>
      </c>
      <c r="H42" s="151">
        <f t="shared" si="0"/>
        <v>10000</v>
      </c>
      <c r="I42" s="150">
        <f t="shared" si="1"/>
        <v>2E-3</v>
      </c>
      <c r="J42" s="194"/>
    </row>
    <row r="43" spans="2:10">
      <c r="B43" s="134"/>
      <c r="C43" s="134"/>
      <c r="D43" s="134"/>
      <c r="E43" s="152">
        <f>SUM(E25:E42)</f>
        <v>1</v>
      </c>
      <c r="F43" s="153">
        <f>SUM(F25:F42)</f>
        <v>5000000</v>
      </c>
      <c r="G43" s="154">
        <f>AVERAGE(G25:G42)</f>
        <v>6.2422222222222219E-2</v>
      </c>
      <c r="H43" s="153">
        <f>SUM(H25:H42)</f>
        <v>366527.22499999998</v>
      </c>
      <c r="I43" s="154">
        <f>SUM(I25:I42)</f>
        <v>7.3305445000000025E-2</v>
      </c>
    </row>
    <row r="46" spans="2:10" ht="60" customHeight="1">
      <c r="B46" s="186" t="s">
        <v>274</v>
      </c>
      <c r="C46" s="187"/>
      <c r="D46" s="187"/>
      <c r="E46" s="187"/>
      <c r="F46" s="187"/>
      <c r="G46" s="187"/>
      <c r="H46" s="187"/>
      <c r="I46" s="187"/>
    </row>
    <row r="51" spans="4:5">
      <c r="D51" s="117" t="s">
        <v>275</v>
      </c>
      <c r="E51" s="117">
        <v>6.4</v>
      </c>
    </row>
    <row r="52" spans="4:5">
      <c r="D52" s="117" t="s">
        <v>276</v>
      </c>
      <c r="E52" s="117">
        <v>11.08</v>
      </c>
    </row>
    <row r="53" spans="4:5">
      <c r="D53" s="117" t="s">
        <v>277</v>
      </c>
      <c r="E53" s="117">
        <v>11.85</v>
      </c>
    </row>
  </sheetData>
  <autoFilter ref="B24:I42" xr:uid="{A9E0A32A-CD1A-0441-ACAC-298F71005FFD}">
    <sortState xmlns:xlrd2="http://schemas.microsoft.com/office/spreadsheetml/2017/richdata2" ref="B25:I42">
      <sortCondition descending="1" ref="E24:E42"/>
    </sortState>
  </autoFilter>
  <mergeCells count="7">
    <mergeCell ref="J25:J34"/>
    <mergeCell ref="J35:J42"/>
    <mergeCell ref="B46:I46"/>
    <mergeCell ref="B2:E2"/>
    <mergeCell ref="B11:C11"/>
    <mergeCell ref="B12:C12"/>
    <mergeCell ref="B13:C13"/>
  </mergeCells>
  <dataValidations count="1">
    <dataValidation type="list" allowBlank="1" showInputMessage="1" showErrorMessage="1" sqref="O15 C25:C42" xr:uid="{BFAA01E9-32BE-BD4C-93B7-551F1F49E2C1}">
      <formula1>$T$10:$T$12</formula1>
    </dataValidation>
  </dataValidations>
  <hyperlinks>
    <hyperlink ref="C8" r:id="rId1" xr:uid="{A4C240BB-5E7C-3E4B-BA4F-84A395E2C44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4DC3-0494-D543-A29D-194F4C109001}">
  <dimension ref="B2:U56"/>
  <sheetViews>
    <sheetView showGridLines="0" zoomScale="84" zoomScaleNormal="50" workbookViewId="0">
      <selection activeCell="K31" sqref="K31"/>
    </sheetView>
  </sheetViews>
  <sheetFormatPr baseColWidth="10" defaultRowHeight="16"/>
  <cols>
    <col min="1" max="1" width="9.1640625" style="117" customWidth="1"/>
    <col min="2" max="2" width="37.5" style="117" bestFit="1" customWidth="1"/>
    <col min="3" max="3" width="16.5" style="117" customWidth="1"/>
    <col min="4" max="4" width="17.1640625" style="117" customWidth="1"/>
    <col min="5" max="5" width="13.5" style="117" customWidth="1"/>
    <col min="6" max="6" width="15.5" style="117" customWidth="1"/>
    <col min="7" max="7" width="16" style="117" customWidth="1"/>
    <col min="8" max="8" width="18.33203125" style="117" customWidth="1"/>
    <col min="9" max="9" width="18.5" style="117" customWidth="1"/>
    <col min="10" max="10" width="4.5" style="117" customWidth="1"/>
    <col min="11" max="12" width="10.83203125" style="117"/>
    <col min="13" max="13" width="77.6640625" style="62" bestFit="1" customWidth="1"/>
    <col min="14" max="19" width="10.83203125" style="117"/>
    <col min="20" max="20" width="16.33203125" style="117" bestFit="1" customWidth="1"/>
    <col min="21" max="21" width="12.5" style="117" bestFit="1" customWidth="1"/>
    <col min="22" max="16384" width="10.83203125" style="117"/>
  </cols>
  <sheetData>
    <row r="2" spans="2:21">
      <c r="B2" s="188" t="s">
        <v>323</v>
      </c>
      <c r="C2" s="189"/>
      <c r="D2" s="189"/>
      <c r="E2" s="190"/>
    </row>
    <row r="3" spans="2:21" ht="20" customHeight="1">
      <c r="B3" s="118" t="s">
        <v>220</v>
      </c>
      <c r="C3" s="62" t="s">
        <v>250</v>
      </c>
      <c r="E3" s="119"/>
    </row>
    <row r="4" spans="2:21" ht="20" customHeight="1">
      <c r="B4" s="118" t="s">
        <v>221</v>
      </c>
      <c r="C4" s="62">
        <v>1205222060</v>
      </c>
      <c r="E4" s="119"/>
    </row>
    <row r="5" spans="2:21" ht="20" customHeight="1">
      <c r="B5" s="120" t="s">
        <v>222</v>
      </c>
      <c r="C5" s="121" t="s">
        <v>251</v>
      </c>
      <c r="D5" s="122"/>
      <c r="E5" s="123"/>
    </row>
    <row r="7" spans="2:21" ht="20" customHeight="1">
      <c r="B7" s="124" t="s">
        <v>223</v>
      </c>
      <c r="C7" s="62" t="s">
        <v>324</v>
      </c>
    </row>
    <row r="8" spans="2:21" ht="20" customHeight="1">
      <c r="B8" s="124" t="s">
        <v>225</v>
      </c>
      <c r="C8" s="135">
        <v>45405</v>
      </c>
    </row>
    <row r="9" spans="2:21">
      <c r="T9" s="126" t="s">
        <v>226</v>
      </c>
      <c r="U9" s="126" t="s">
        <v>227</v>
      </c>
    </row>
    <row r="10" spans="2:21" ht="20" customHeight="1">
      <c r="B10" s="191" t="s">
        <v>228</v>
      </c>
      <c r="C10" s="192"/>
      <c r="D10" s="126" t="s">
        <v>229</v>
      </c>
      <c r="T10" s="126" t="s">
        <v>230</v>
      </c>
      <c r="U10" s="126" t="s">
        <v>231</v>
      </c>
    </row>
    <row r="11" spans="2:21" ht="20" customHeight="1">
      <c r="B11" s="191" t="s">
        <v>288</v>
      </c>
      <c r="C11" s="192"/>
      <c r="D11" s="127">
        <v>5000000000</v>
      </c>
      <c r="T11" s="126" t="s">
        <v>232</v>
      </c>
      <c r="U11" s="126" t="s">
        <v>233</v>
      </c>
    </row>
    <row r="12" spans="2:21" ht="20" customHeight="1">
      <c r="B12" s="191" t="s">
        <v>234</v>
      </c>
      <c r="C12" s="192"/>
      <c r="D12" s="136">
        <f>I38</f>
        <v>0.83774500000000007</v>
      </c>
      <c r="T12" s="126" t="s">
        <v>302</v>
      </c>
      <c r="U12" s="126" t="s">
        <v>231</v>
      </c>
    </row>
    <row r="14" spans="2:21" ht="34">
      <c r="B14" s="128" t="s">
        <v>235</v>
      </c>
      <c r="C14" s="129" t="s">
        <v>236</v>
      </c>
      <c r="D14" s="129" t="s">
        <v>237</v>
      </c>
    </row>
    <row r="15" spans="2:21" ht="20" customHeight="1">
      <c r="B15" s="130" t="s">
        <v>233</v>
      </c>
      <c r="C15" s="131">
        <v>0.1</v>
      </c>
      <c r="D15" s="132">
        <f>C15*D11</f>
        <v>500000000</v>
      </c>
    </row>
    <row r="16" spans="2:21" ht="20" customHeight="1">
      <c r="B16" s="130" t="s">
        <v>231</v>
      </c>
      <c r="C16" s="131">
        <v>0.28999999999999998</v>
      </c>
      <c r="D16" s="132">
        <f>C16*D$11</f>
        <v>1450000000</v>
      </c>
    </row>
    <row r="17" spans="2:13" ht="20" customHeight="1">
      <c r="B17" s="130" t="s">
        <v>227</v>
      </c>
      <c r="C17" s="131">
        <v>0.61</v>
      </c>
      <c r="D17" s="132">
        <f>C17*D$11</f>
        <v>3050000000</v>
      </c>
    </row>
    <row r="18" spans="2:13" ht="20" customHeight="1">
      <c r="B18" s="137" t="s">
        <v>238</v>
      </c>
      <c r="C18" s="138">
        <f>SUM(C15:C17)</f>
        <v>1</v>
      </c>
      <c r="D18" s="139">
        <f>SUM(D15:D17)</f>
        <v>5000000000</v>
      </c>
    </row>
    <row r="20" spans="2:13">
      <c r="B20" s="128" t="s">
        <v>239</v>
      </c>
    </row>
    <row r="22" spans="2:13" ht="51">
      <c r="B22" s="128" t="s">
        <v>240</v>
      </c>
      <c r="C22" s="128" t="s">
        <v>241</v>
      </c>
      <c r="D22" s="128" t="s">
        <v>242</v>
      </c>
      <c r="E22" s="129" t="s">
        <v>243</v>
      </c>
      <c r="F22" s="129" t="s">
        <v>244</v>
      </c>
      <c r="G22" s="129" t="s">
        <v>245</v>
      </c>
      <c r="H22" s="129" t="s">
        <v>246</v>
      </c>
      <c r="I22" s="129" t="s">
        <v>247</v>
      </c>
      <c r="J22" s="133"/>
    </row>
    <row r="23" spans="2:13">
      <c r="B23" s="117">
        <v>1</v>
      </c>
      <c r="C23" s="117">
        <v>2</v>
      </c>
      <c r="D23" s="117">
        <v>3</v>
      </c>
      <c r="E23" s="117">
        <v>4</v>
      </c>
      <c r="F23" s="117">
        <v>5</v>
      </c>
      <c r="G23" s="117">
        <v>6</v>
      </c>
      <c r="H23" s="117" t="s">
        <v>248</v>
      </c>
      <c r="I23" s="117" t="s">
        <v>249</v>
      </c>
      <c r="M23" s="167" t="s">
        <v>320</v>
      </c>
    </row>
    <row r="24" spans="2:13" ht="20" customHeight="1">
      <c r="B24" s="158" t="s">
        <v>299</v>
      </c>
      <c r="C24" s="159" t="s">
        <v>230</v>
      </c>
      <c r="D24" s="159" t="s">
        <v>231</v>
      </c>
      <c r="E24" s="160">
        <v>0.05</v>
      </c>
      <c r="F24" s="161">
        <f t="shared" ref="F24:F37" si="0">E24*D$11</f>
        <v>250000000</v>
      </c>
      <c r="G24" s="160">
        <v>0.09</v>
      </c>
      <c r="H24" s="161">
        <f t="shared" ref="H24:H37" si="1">F24*G24</f>
        <v>22500000</v>
      </c>
      <c r="I24" s="160">
        <f t="shared" ref="I24:I37" si="2">H24/$D$11</f>
        <v>4.4999999999999997E-3</v>
      </c>
      <c r="J24" s="193"/>
      <c r="M24" s="168" t="s">
        <v>300</v>
      </c>
    </row>
    <row r="25" spans="2:13" ht="20" customHeight="1">
      <c r="B25" s="158" t="s">
        <v>297</v>
      </c>
      <c r="C25" s="159" t="s">
        <v>230</v>
      </c>
      <c r="D25" s="159" t="s">
        <v>231</v>
      </c>
      <c r="E25" s="160">
        <v>0.04</v>
      </c>
      <c r="F25" s="161">
        <f t="shared" si="0"/>
        <v>200000000</v>
      </c>
      <c r="G25" s="160">
        <v>8.3750000000000005E-2</v>
      </c>
      <c r="H25" s="161">
        <f t="shared" si="1"/>
        <v>16750000.000000002</v>
      </c>
      <c r="I25" s="160">
        <f t="shared" si="2"/>
        <v>3.3500000000000005E-3</v>
      </c>
      <c r="J25" s="193"/>
      <c r="M25" s="169" t="s">
        <v>298</v>
      </c>
    </row>
    <row r="26" spans="2:13" ht="20" customHeight="1">
      <c r="B26" s="158" t="s">
        <v>301</v>
      </c>
      <c r="C26" s="159" t="s">
        <v>302</v>
      </c>
      <c r="D26" s="159" t="s">
        <v>231</v>
      </c>
      <c r="E26" s="160">
        <v>0.05</v>
      </c>
      <c r="F26" s="161">
        <f t="shared" si="0"/>
        <v>250000000</v>
      </c>
      <c r="G26" s="160">
        <v>0.115</v>
      </c>
      <c r="H26" s="161">
        <f t="shared" si="1"/>
        <v>28750000</v>
      </c>
      <c r="I26" s="160">
        <f t="shared" si="2"/>
        <v>5.7499999999999999E-3</v>
      </c>
      <c r="J26" s="193"/>
      <c r="M26" s="169" t="s">
        <v>305</v>
      </c>
    </row>
    <row r="27" spans="2:13" ht="20" customHeight="1">
      <c r="B27" s="158" t="s">
        <v>303</v>
      </c>
      <c r="C27" s="159" t="s">
        <v>302</v>
      </c>
      <c r="D27" s="159" t="s">
        <v>231</v>
      </c>
      <c r="E27" s="160">
        <v>0.15</v>
      </c>
      <c r="F27" s="161">
        <f t="shared" si="0"/>
        <v>750000000</v>
      </c>
      <c r="G27" s="160">
        <v>0.11749999999999999</v>
      </c>
      <c r="H27" s="161">
        <f t="shared" si="1"/>
        <v>88125000</v>
      </c>
      <c r="I27" s="160">
        <f t="shared" si="2"/>
        <v>1.7624999999999998E-2</v>
      </c>
      <c r="J27" s="193"/>
      <c r="M27" s="169" t="s">
        <v>304</v>
      </c>
    </row>
    <row r="28" spans="2:13" ht="20" customHeight="1">
      <c r="B28" s="140" t="s">
        <v>309</v>
      </c>
      <c r="C28" s="141" t="s">
        <v>232</v>
      </c>
      <c r="D28" s="141" t="s">
        <v>233</v>
      </c>
      <c r="E28" s="142">
        <v>7.0000000000000007E-2</v>
      </c>
      <c r="F28" s="143">
        <f t="shared" si="0"/>
        <v>350000000.00000006</v>
      </c>
      <c r="G28" s="142">
        <v>8.7499999999999994E-2</v>
      </c>
      <c r="H28" s="143">
        <f t="shared" si="1"/>
        <v>30625000.000000004</v>
      </c>
      <c r="I28" s="142">
        <f t="shared" si="2"/>
        <v>6.1250000000000011E-3</v>
      </c>
      <c r="J28" s="193"/>
      <c r="M28" s="169" t="s">
        <v>306</v>
      </c>
    </row>
    <row r="29" spans="2:13" ht="20" customHeight="1">
      <c r="B29" s="140" t="s">
        <v>308</v>
      </c>
      <c r="C29" s="141" t="s">
        <v>232</v>
      </c>
      <c r="D29" s="141" t="s">
        <v>233</v>
      </c>
      <c r="E29" s="142">
        <v>0.03</v>
      </c>
      <c r="F29" s="143">
        <f t="shared" si="0"/>
        <v>150000000</v>
      </c>
      <c r="G29" s="142">
        <v>0.08</v>
      </c>
      <c r="H29" s="143">
        <f t="shared" si="1"/>
        <v>12000000</v>
      </c>
      <c r="I29" s="142">
        <f t="shared" si="2"/>
        <v>2.3999999999999998E-3</v>
      </c>
      <c r="J29" s="193"/>
      <c r="M29" s="170" t="s">
        <v>307</v>
      </c>
    </row>
    <row r="30" spans="2:13" ht="20" customHeight="1">
      <c r="B30" s="162" t="s">
        <v>310</v>
      </c>
      <c r="C30" s="163" t="s">
        <v>226</v>
      </c>
      <c r="D30" s="163" t="s">
        <v>227</v>
      </c>
      <c r="E30" s="164">
        <v>0.19</v>
      </c>
      <c r="F30" s="165">
        <f t="shared" si="0"/>
        <v>950000000</v>
      </c>
      <c r="G30" s="164">
        <v>1.1718999999999999</v>
      </c>
      <c r="H30" s="165">
        <f t="shared" si="1"/>
        <v>1113305000</v>
      </c>
      <c r="I30" s="164">
        <f t="shared" si="2"/>
        <v>0.222661</v>
      </c>
      <c r="J30" s="193"/>
    </row>
    <row r="31" spans="2:13" ht="20" customHeight="1">
      <c r="B31" s="162" t="s">
        <v>311</v>
      </c>
      <c r="C31" s="163" t="s">
        <v>226</v>
      </c>
      <c r="D31" s="163" t="s">
        <v>227</v>
      </c>
      <c r="E31" s="164">
        <v>0.05</v>
      </c>
      <c r="F31" s="165">
        <f t="shared" si="0"/>
        <v>250000000</v>
      </c>
      <c r="G31" s="164">
        <v>0.4839</v>
      </c>
      <c r="H31" s="165">
        <f t="shared" si="1"/>
        <v>120975000</v>
      </c>
      <c r="I31" s="164">
        <f t="shared" si="2"/>
        <v>2.4195000000000001E-2</v>
      </c>
      <c r="J31" s="193"/>
    </row>
    <row r="32" spans="2:13" ht="20" customHeight="1">
      <c r="B32" s="162" t="s">
        <v>312</v>
      </c>
      <c r="C32" s="163" t="s">
        <v>226</v>
      </c>
      <c r="D32" s="163" t="s">
        <v>227</v>
      </c>
      <c r="E32" s="164">
        <v>0.03</v>
      </c>
      <c r="F32" s="165">
        <f t="shared" si="0"/>
        <v>150000000</v>
      </c>
      <c r="G32" s="164">
        <v>0.3201</v>
      </c>
      <c r="H32" s="165">
        <f t="shared" si="1"/>
        <v>48015000</v>
      </c>
      <c r="I32" s="164">
        <f t="shared" si="2"/>
        <v>9.6030000000000004E-3</v>
      </c>
      <c r="J32" s="193"/>
    </row>
    <row r="33" spans="2:10" ht="20" customHeight="1">
      <c r="B33" s="162" t="s">
        <v>313</v>
      </c>
      <c r="C33" s="163" t="s">
        <v>226</v>
      </c>
      <c r="D33" s="163" t="s">
        <v>227</v>
      </c>
      <c r="E33" s="164">
        <v>0.02</v>
      </c>
      <c r="F33" s="165">
        <f t="shared" si="0"/>
        <v>100000000</v>
      </c>
      <c r="G33" s="164">
        <v>0.224</v>
      </c>
      <c r="H33" s="165">
        <f t="shared" si="1"/>
        <v>22400000</v>
      </c>
      <c r="I33" s="164">
        <f t="shared" si="2"/>
        <v>4.4799999999999996E-3</v>
      </c>
      <c r="J33" s="193"/>
    </row>
    <row r="34" spans="2:10" ht="20" customHeight="1">
      <c r="B34" s="162" t="s">
        <v>314</v>
      </c>
      <c r="C34" s="163" t="s">
        <v>226</v>
      </c>
      <c r="D34" s="163" t="s">
        <v>227</v>
      </c>
      <c r="E34" s="164">
        <v>0.02</v>
      </c>
      <c r="F34" s="165">
        <f t="shared" si="0"/>
        <v>100000000</v>
      </c>
      <c r="G34" s="164">
        <v>0.18440000000000001</v>
      </c>
      <c r="H34" s="165">
        <f t="shared" si="1"/>
        <v>18440000</v>
      </c>
      <c r="I34" s="164">
        <f t="shared" si="2"/>
        <v>3.6879999999999999E-3</v>
      </c>
      <c r="J34" s="194"/>
    </row>
    <row r="35" spans="2:10" ht="20" customHeight="1">
      <c r="B35" s="162" t="s">
        <v>315</v>
      </c>
      <c r="C35" s="163" t="s">
        <v>226</v>
      </c>
      <c r="D35" s="163" t="s">
        <v>227</v>
      </c>
      <c r="E35" s="164">
        <v>0.25</v>
      </c>
      <c r="F35" s="165">
        <f t="shared" si="0"/>
        <v>1250000000</v>
      </c>
      <c r="G35" s="164">
        <v>2.0901000000000001</v>
      </c>
      <c r="H35" s="165">
        <f t="shared" si="1"/>
        <v>2612625000</v>
      </c>
      <c r="I35" s="164">
        <f t="shared" si="2"/>
        <v>0.52252500000000002</v>
      </c>
      <c r="J35" s="194"/>
    </row>
    <row r="36" spans="2:10" ht="20" customHeight="1">
      <c r="B36" s="162" t="s">
        <v>316</v>
      </c>
      <c r="C36" s="163" t="s">
        <v>226</v>
      </c>
      <c r="D36" s="163" t="s">
        <v>227</v>
      </c>
      <c r="E36" s="164">
        <v>0.03</v>
      </c>
      <c r="F36" s="165">
        <f t="shared" si="0"/>
        <v>150000000</v>
      </c>
      <c r="G36" s="164">
        <v>0.29549999999999998</v>
      </c>
      <c r="H36" s="165">
        <f t="shared" si="1"/>
        <v>44325000</v>
      </c>
      <c r="I36" s="164">
        <f t="shared" si="2"/>
        <v>8.8649999999999996E-3</v>
      </c>
      <c r="J36" s="194"/>
    </row>
    <row r="37" spans="2:10" ht="20" customHeight="1">
      <c r="B37" s="162" t="s">
        <v>317</v>
      </c>
      <c r="C37" s="163" t="s">
        <v>226</v>
      </c>
      <c r="D37" s="163" t="s">
        <v>227</v>
      </c>
      <c r="E37" s="164">
        <v>0.02</v>
      </c>
      <c r="F37" s="165">
        <f t="shared" si="0"/>
        <v>100000000</v>
      </c>
      <c r="G37" s="164">
        <v>9.8900000000000002E-2</v>
      </c>
      <c r="H37" s="165">
        <f t="shared" si="1"/>
        <v>9890000</v>
      </c>
      <c r="I37" s="164">
        <f t="shared" si="2"/>
        <v>1.9780000000000002E-3</v>
      </c>
      <c r="J37" s="194"/>
    </row>
    <row r="38" spans="2:10">
      <c r="B38" s="134"/>
      <c r="C38" s="134"/>
      <c r="D38" s="134"/>
      <c r="E38" s="152">
        <f>SUM(E24:E37)</f>
        <v>1.0000000000000002</v>
      </c>
      <c r="F38" s="153">
        <f>SUM(F24:F37)</f>
        <v>5000000000</v>
      </c>
      <c r="G38" s="154">
        <f>AVERAGE(G24:G37)</f>
        <v>0.38875357142857142</v>
      </c>
      <c r="H38" s="153">
        <f>SUM(H24:H37)</f>
        <v>4188725000</v>
      </c>
      <c r="I38" s="154">
        <f>SUM(I24:I37)</f>
        <v>0.83774500000000007</v>
      </c>
    </row>
    <row r="41" spans="2:10" ht="60" customHeight="1">
      <c r="B41" s="186" t="s">
        <v>319</v>
      </c>
      <c r="C41" s="187"/>
      <c r="D41" s="187"/>
      <c r="E41" s="187"/>
      <c r="F41" s="187"/>
      <c r="G41" s="187"/>
      <c r="H41" s="187"/>
      <c r="I41" s="187"/>
    </row>
    <row r="42" spans="2:10">
      <c r="B42" s="166" t="s">
        <v>321</v>
      </c>
    </row>
    <row r="43" spans="2:10">
      <c r="B43" s="186" t="s">
        <v>322</v>
      </c>
      <c r="C43" s="186"/>
      <c r="D43" s="186"/>
      <c r="E43" s="186"/>
      <c r="F43" s="186"/>
    </row>
    <row r="44" spans="2:10" ht="28" customHeight="1">
      <c r="B44" s="186"/>
      <c r="C44" s="186"/>
      <c r="D44" s="186"/>
      <c r="E44" s="186"/>
      <c r="F44" s="186"/>
    </row>
    <row r="54" spans="2:3">
      <c r="B54" s="62" t="s">
        <v>227</v>
      </c>
      <c r="C54" s="157">
        <f>SUM(E30:E37)</f>
        <v>0.6100000000000001</v>
      </c>
    </row>
    <row r="55" spans="2:3">
      <c r="B55" s="62" t="s">
        <v>233</v>
      </c>
      <c r="C55" s="157">
        <f>SUM(E28:E29)</f>
        <v>0.1</v>
      </c>
    </row>
    <row r="56" spans="2:3">
      <c r="B56" s="62" t="s">
        <v>231</v>
      </c>
      <c r="C56" s="157">
        <f>SUM(E24:E27)</f>
        <v>0.29000000000000004</v>
      </c>
    </row>
  </sheetData>
  <autoFilter ref="B23:I37" xr:uid="{A9E0A32A-CD1A-0441-ACAC-298F71005FFD}">
    <sortState xmlns:xlrd2="http://schemas.microsoft.com/office/spreadsheetml/2017/richdata2" ref="B24:I37">
      <sortCondition descending="1" ref="E23:E37"/>
    </sortState>
  </autoFilter>
  <mergeCells count="8">
    <mergeCell ref="J24:J33"/>
    <mergeCell ref="J34:J37"/>
    <mergeCell ref="B41:I41"/>
    <mergeCell ref="B43:F44"/>
    <mergeCell ref="B2:E2"/>
    <mergeCell ref="B10:C10"/>
    <mergeCell ref="B11:C11"/>
    <mergeCell ref="B12:C12"/>
  </mergeCells>
  <dataValidations count="3">
    <dataValidation type="list" allowBlank="1" showInputMessage="1" showErrorMessage="1" sqref="O14" xr:uid="{D0D9F5E1-420E-254F-B787-8BD2775FB73E}">
      <formula1>$T$9:$T$11</formula1>
    </dataValidation>
    <dataValidation type="list" allowBlank="1" showInputMessage="1" showErrorMessage="1" sqref="C24:C37" xr:uid="{C9BD88DB-CE16-A341-93AD-2773A329E3D7}">
      <formula1>$T$9:$T$12</formula1>
    </dataValidation>
    <dataValidation type="list" allowBlank="1" showInputMessage="1" showErrorMessage="1" sqref="D24:D37" xr:uid="{C3505549-A502-CF43-8FE2-1B09FA75E03B}">
      <formula1>$U$9:$U$12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UTS (2)</vt:lpstr>
      <vt:lpstr>Tugas FITHUB</vt:lpstr>
      <vt:lpstr>UTS - Analisis Arus Kas </vt:lpstr>
      <vt:lpstr>UTS - Analisis Portfolio</vt:lpstr>
      <vt:lpstr>UTS - Analisis Portfolio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ARAYA PUTRA SURYANTO</dc:creator>
  <cp:lastModifiedBy>ARAYA PUTRA SURYANTO</cp:lastModifiedBy>
  <dcterms:created xsi:type="dcterms:W3CDTF">2024-04-01T04:14:34Z</dcterms:created>
  <dcterms:modified xsi:type="dcterms:W3CDTF">2024-11-06T10:18:29Z</dcterms:modified>
</cp:coreProperties>
</file>